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Sj6bVK1YaPK/WPRxy7s1CF/8NEhQSh0mXAr3gXr9RR4="/>
    </ext>
  </extLst>
</workbook>
</file>

<file path=xl/sharedStrings.xml><?xml version="1.0" encoding="utf-8"?>
<sst xmlns="http://schemas.openxmlformats.org/spreadsheetml/2006/main" count="127" uniqueCount="39">
  <si>
    <t>Formula: urgencia * impacto / esfuerzo</t>
  </si>
  <si>
    <t>Leonado Ayala</t>
  </si>
  <si>
    <t>Juan Fernando</t>
  </si>
  <si>
    <t>Emmanuel Andres Cortes Armenia</t>
  </si>
  <si>
    <t xml:space="preserve">Nicolas Castellanos </t>
  </si>
  <si>
    <t>Miguel Mogollon</t>
  </si>
  <si>
    <t>Urgencia 1 a 5</t>
  </si>
  <si>
    <t>I1</t>
  </si>
  <si>
    <t>I2</t>
  </si>
  <si>
    <t>I4</t>
  </si>
  <si>
    <t>I5</t>
  </si>
  <si>
    <t>I6</t>
  </si>
  <si>
    <t>Ponderación</t>
  </si>
  <si>
    <t>h1 - Escaneo del QR</t>
  </si>
  <si>
    <t>h2 - Ingreso de más consumidores a una misma mesa</t>
  </si>
  <si>
    <t>h3 - Division de la cuenta</t>
  </si>
  <si>
    <t>h4 - Agregar productos a un unico usuario</t>
  </si>
  <si>
    <t>h5 - Selección metodo de pago</t>
  </si>
  <si>
    <t>h6 - Selección de Roles</t>
  </si>
  <si>
    <t>h7 - Historial de transacciones</t>
  </si>
  <si>
    <t>h8 - Verificacion de pago por el cajero</t>
  </si>
  <si>
    <t>h9 - Metodo de pago Efectivo</t>
  </si>
  <si>
    <t>h10 - Verificacion pago por efectivo</t>
  </si>
  <si>
    <t>h11 - Verificacion de pago al Cliente principal</t>
  </si>
  <si>
    <t>h12 - Ticket virtual</t>
  </si>
  <si>
    <t>h13 - Validación por código de factura</t>
  </si>
  <si>
    <t>h14 - Visualización de la cuenta</t>
  </si>
  <si>
    <t>h15 - Conexión con sistema de comandas</t>
  </si>
  <si>
    <t>h16 - Pago individual de ítem</t>
  </si>
  <si>
    <t>h17 - Redirección a pasarela de pagos</t>
  </si>
  <si>
    <t>h18 - Confirmación de pago al cajero</t>
  </si>
  <si>
    <t>h19 - Compatibilidad con dispositivos</t>
  </si>
  <si>
    <t>h20 - Carga rápida de información</t>
  </si>
  <si>
    <t>h21 - Estabilidad del sistema</t>
  </si>
  <si>
    <t>h22 - Seguridad en pagos</t>
  </si>
  <si>
    <t>Impacto 1 a 10</t>
  </si>
  <si>
    <t>Esfuerzo 1 a 5</t>
  </si>
  <si>
    <t>Prioridad</t>
  </si>
  <si>
    <t>Puntaje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</si>
</sst>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color rgb="FFFFFFFF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u/>
      <sz val="11.0"/>
      <color theme="1"/>
      <name val="Aptos Narrow"/>
    </font>
    <font>
      <b/>
      <color theme="1"/>
      <name val="Arial"/>
    </font>
    <font>
      <b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8E8E8"/>
        <bgColor rgb="FFE8E8E8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Fill="1" applyFont="1"/>
    <xf borderId="1" fillId="3" fontId="4" numFmtId="0" xfId="0" applyAlignment="1" applyBorder="1" applyFill="1" applyFont="1">
      <alignment horizontal="center"/>
    </xf>
    <xf borderId="0" fillId="3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7" numFmtId="164" xfId="0" applyAlignment="1" applyFont="1" applyNumberFormat="1">
      <alignment readingOrder="0"/>
    </xf>
    <xf borderId="0" fillId="0" fontId="6" numFmtId="164" xfId="0" applyAlignment="1" applyFont="1" applyNumberFormat="1">
      <alignment horizontal="center"/>
    </xf>
    <xf borderId="1" fillId="4" fontId="6" numFmtId="0" xfId="0" applyAlignment="1" applyBorder="1" applyFill="1" applyFont="1">
      <alignment horizontal="center" vertical="center"/>
    </xf>
    <xf borderId="0" fillId="4" fontId="7" numFmtId="0" xfId="0" applyAlignment="1" applyFont="1">
      <alignment horizontal="center" readingOrder="0" vertical="center"/>
    </xf>
    <xf borderId="1" fillId="4" fontId="7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6" numFmtId="164" xfId="0" applyFont="1" applyNumberFormat="1"/>
    <xf borderId="0" fillId="5" fontId="1" numFmtId="0" xfId="0" applyFill="1" applyFont="1"/>
    <xf borderId="0" fillId="2" fontId="5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6" fontId="10" numFmtId="0" xfId="0" applyAlignment="1" applyFill="1" applyFont="1">
      <alignment horizontal="center" readingOrder="0"/>
    </xf>
    <xf borderId="0" fillId="0" fontId="7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2" width="78.5"/>
    <col customWidth="1" min="3" max="4" width="7.25"/>
    <col customWidth="1" min="5" max="5" width="8.25"/>
    <col customWidth="1" min="6" max="6" width="9.88"/>
    <col customWidth="1" min="7" max="7" width="7.5"/>
    <col customWidth="1" min="8" max="8" width="10.63"/>
    <col customWidth="1" min="9" max="9" width="13.38"/>
    <col customWidth="1" min="10" max="28" width="10.63"/>
  </cols>
  <sheetData>
    <row r="1" ht="14.25" customHeight="1">
      <c r="B1" s="1" t="s">
        <v>0</v>
      </c>
      <c r="C1" s="2" t="s">
        <v>1</v>
      </c>
      <c r="D1" s="2" t="s">
        <v>2</v>
      </c>
      <c r="E1" s="2"/>
      <c r="F1" s="2" t="s">
        <v>3</v>
      </c>
      <c r="G1" s="2" t="s">
        <v>4</v>
      </c>
      <c r="H1" s="2" t="s">
        <v>5</v>
      </c>
      <c r="L1" s="3"/>
    </row>
    <row r="2" ht="14.25" customHeight="1">
      <c r="B2" s="4" t="s">
        <v>6</v>
      </c>
      <c r="C2" s="5" t="s">
        <v>7</v>
      </c>
      <c r="D2" s="6" t="s">
        <v>8</v>
      </c>
      <c r="E2" s="2"/>
      <c r="F2" s="6" t="s">
        <v>9</v>
      </c>
      <c r="G2" s="6" t="s">
        <v>10</v>
      </c>
      <c r="H2" s="7" t="s">
        <v>11</v>
      </c>
      <c r="I2" s="8" t="s">
        <v>12</v>
      </c>
    </row>
    <row r="3" ht="14.25" customHeight="1">
      <c r="B3" s="2" t="s">
        <v>13</v>
      </c>
      <c r="C3" s="9">
        <v>5.0</v>
      </c>
      <c r="D3" s="10">
        <v>5.0</v>
      </c>
      <c r="E3" s="2"/>
      <c r="F3" s="10">
        <v>5.0</v>
      </c>
      <c r="G3" s="10">
        <v>5.0</v>
      </c>
      <c r="H3" s="11">
        <v>5.0</v>
      </c>
      <c r="I3" s="12">
        <f t="shared" ref="I3:I24" si="1">AVERAGE(C3:H3)</f>
        <v>5</v>
      </c>
      <c r="L3" s="12"/>
    </row>
    <row r="4" ht="14.25" customHeight="1">
      <c r="B4" s="2" t="s">
        <v>14</v>
      </c>
      <c r="C4" s="13">
        <v>5.0</v>
      </c>
      <c r="D4" s="14">
        <v>5.0</v>
      </c>
      <c r="E4" s="2"/>
      <c r="F4" s="15">
        <v>5.0</v>
      </c>
      <c r="G4" s="13">
        <v>5.0</v>
      </c>
      <c r="H4" s="11">
        <v>5.0</v>
      </c>
      <c r="I4" s="12">
        <f t="shared" si="1"/>
        <v>5</v>
      </c>
      <c r="L4" s="12"/>
    </row>
    <row r="5" ht="14.25" customHeight="1">
      <c r="B5" s="2" t="s">
        <v>15</v>
      </c>
      <c r="C5" s="16">
        <v>3.0</v>
      </c>
      <c r="D5" s="17">
        <v>5.0</v>
      </c>
      <c r="E5" s="2"/>
      <c r="F5" s="17">
        <v>4.0</v>
      </c>
      <c r="G5" s="16">
        <v>5.0</v>
      </c>
      <c r="H5" s="11">
        <v>5.0</v>
      </c>
      <c r="I5" s="12">
        <f t="shared" si="1"/>
        <v>4.4</v>
      </c>
      <c r="L5" s="12"/>
    </row>
    <row r="6" ht="14.25" customHeight="1">
      <c r="B6" s="2" t="s">
        <v>16</v>
      </c>
      <c r="C6" s="16">
        <v>2.0</v>
      </c>
      <c r="D6" s="17">
        <v>3.0</v>
      </c>
      <c r="E6" s="2"/>
      <c r="F6" s="17">
        <v>5.0</v>
      </c>
      <c r="G6" s="17">
        <v>4.0</v>
      </c>
      <c r="H6" s="11">
        <v>5.0</v>
      </c>
      <c r="I6" s="12">
        <f t="shared" si="1"/>
        <v>3.8</v>
      </c>
      <c r="L6" s="12"/>
    </row>
    <row r="7" ht="14.25" customHeight="1">
      <c r="B7" s="2" t="s">
        <v>17</v>
      </c>
      <c r="C7" s="16">
        <v>5.0</v>
      </c>
      <c r="D7" s="17">
        <v>5.0</v>
      </c>
      <c r="E7" s="2"/>
      <c r="F7" s="17">
        <v>5.0</v>
      </c>
      <c r="G7" s="16">
        <v>5.0</v>
      </c>
      <c r="H7" s="11">
        <v>5.0</v>
      </c>
      <c r="I7" s="12">
        <f t="shared" si="1"/>
        <v>5</v>
      </c>
      <c r="L7" s="12"/>
    </row>
    <row r="8" ht="14.25" customHeight="1">
      <c r="B8" s="2" t="s">
        <v>18</v>
      </c>
      <c r="C8" s="16">
        <v>4.0</v>
      </c>
      <c r="D8" s="17">
        <v>5.0</v>
      </c>
      <c r="E8" s="2"/>
      <c r="F8" s="17">
        <v>4.0</v>
      </c>
      <c r="G8" s="17">
        <v>5.0</v>
      </c>
      <c r="H8" s="11">
        <v>3.0</v>
      </c>
      <c r="I8" s="12">
        <f t="shared" si="1"/>
        <v>4.2</v>
      </c>
      <c r="L8" s="12"/>
    </row>
    <row r="9" ht="14.25" customHeight="1">
      <c r="B9" s="2" t="s">
        <v>19</v>
      </c>
      <c r="C9" s="16">
        <v>2.0</v>
      </c>
      <c r="D9" s="17">
        <v>2.0</v>
      </c>
      <c r="E9" s="2"/>
      <c r="F9" s="17">
        <v>3.0</v>
      </c>
      <c r="G9" s="17">
        <v>4.0</v>
      </c>
      <c r="H9" s="11">
        <v>2.0</v>
      </c>
      <c r="I9" s="12">
        <f t="shared" si="1"/>
        <v>2.6</v>
      </c>
      <c r="L9" s="12"/>
    </row>
    <row r="10" ht="14.25" customHeight="1">
      <c r="B10" s="2" t="s">
        <v>20</v>
      </c>
      <c r="C10" s="16">
        <v>5.0</v>
      </c>
      <c r="D10" s="17">
        <v>4.0</v>
      </c>
      <c r="E10" s="2"/>
      <c r="F10" s="17">
        <v>5.0</v>
      </c>
      <c r="G10" s="17">
        <v>5.0</v>
      </c>
      <c r="H10" s="11">
        <v>5.0</v>
      </c>
      <c r="I10" s="12">
        <f t="shared" si="1"/>
        <v>4.8</v>
      </c>
      <c r="L10" s="12"/>
    </row>
    <row r="11" ht="14.25" customHeight="1">
      <c r="B11" s="2" t="s">
        <v>21</v>
      </c>
      <c r="C11" s="16">
        <v>2.0</v>
      </c>
      <c r="D11" s="17">
        <v>3.0</v>
      </c>
      <c r="E11" s="2"/>
      <c r="F11" s="17">
        <v>2.0</v>
      </c>
      <c r="G11" s="17">
        <v>4.0</v>
      </c>
      <c r="H11" s="11">
        <v>4.0</v>
      </c>
      <c r="I11" s="12">
        <f t="shared" si="1"/>
        <v>3</v>
      </c>
      <c r="L11" s="12"/>
    </row>
    <row r="12" ht="14.25" customHeight="1">
      <c r="B12" s="2" t="s">
        <v>22</v>
      </c>
      <c r="C12" s="16">
        <v>4.0</v>
      </c>
      <c r="D12" s="17">
        <v>4.0</v>
      </c>
      <c r="E12" s="2"/>
      <c r="F12" s="17">
        <v>3.0</v>
      </c>
      <c r="G12" s="16">
        <v>4.0</v>
      </c>
      <c r="H12" s="11">
        <v>4.0</v>
      </c>
      <c r="I12" s="12">
        <f t="shared" si="1"/>
        <v>3.8</v>
      </c>
      <c r="L12" s="12"/>
    </row>
    <row r="13" ht="14.25" customHeight="1">
      <c r="B13" s="2" t="s">
        <v>23</v>
      </c>
      <c r="C13" s="16">
        <v>3.0</v>
      </c>
      <c r="D13" s="17">
        <v>3.0</v>
      </c>
      <c r="E13" s="2"/>
      <c r="F13" s="16">
        <v>4.0</v>
      </c>
      <c r="G13" s="17">
        <v>5.0</v>
      </c>
      <c r="H13" s="11">
        <v>4.0</v>
      </c>
      <c r="I13" s="12">
        <f t="shared" si="1"/>
        <v>3.8</v>
      </c>
      <c r="L13" s="12"/>
    </row>
    <row r="14" ht="14.25" customHeight="1">
      <c r="B14" s="2" t="s">
        <v>24</v>
      </c>
      <c r="C14" s="16">
        <v>2.0</v>
      </c>
      <c r="D14" s="17">
        <v>3.0</v>
      </c>
      <c r="E14" s="2"/>
      <c r="F14" s="17">
        <v>1.0</v>
      </c>
      <c r="G14" s="17">
        <v>3.0</v>
      </c>
      <c r="H14" s="11">
        <v>3.0</v>
      </c>
      <c r="I14" s="12">
        <f t="shared" si="1"/>
        <v>2.4</v>
      </c>
      <c r="L14" s="12"/>
    </row>
    <row r="15" ht="14.25" customHeight="1">
      <c r="B15" s="2" t="s">
        <v>25</v>
      </c>
      <c r="C15" s="13">
        <v>3.0</v>
      </c>
      <c r="D15" s="14">
        <v>3.0</v>
      </c>
      <c r="E15" s="2"/>
      <c r="F15" s="15">
        <v>4.0</v>
      </c>
      <c r="G15" s="15">
        <v>5.0</v>
      </c>
      <c r="H15" s="11">
        <v>3.0</v>
      </c>
      <c r="I15" s="12">
        <f t="shared" si="1"/>
        <v>3.6</v>
      </c>
      <c r="L15" s="12"/>
    </row>
    <row r="16" ht="14.25" customHeight="1">
      <c r="B16" s="2" t="s">
        <v>26</v>
      </c>
      <c r="C16" s="16">
        <v>3.0</v>
      </c>
      <c r="D16" s="17">
        <v>4.0</v>
      </c>
      <c r="E16" s="2"/>
      <c r="F16" s="18">
        <v>4.0</v>
      </c>
      <c r="G16" s="18">
        <v>3.0</v>
      </c>
      <c r="H16" s="2">
        <v>5.0</v>
      </c>
      <c r="I16" s="12">
        <f t="shared" si="1"/>
        <v>3.8</v>
      </c>
      <c r="L16" s="12"/>
    </row>
    <row r="17" ht="14.25" customHeight="1">
      <c r="B17" s="2" t="s">
        <v>27</v>
      </c>
      <c r="C17" s="16">
        <v>5.0</v>
      </c>
      <c r="D17" s="17">
        <v>5.0</v>
      </c>
      <c r="E17" s="2"/>
      <c r="F17" s="18">
        <v>5.0</v>
      </c>
      <c r="G17" s="18">
        <v>3.0</v>
      </c>
      <c r="H17" s="2">
        <v>5.0</v>
      </c>
      <c r="I17" s="12">
        <f t="shared" si="1"/>
        <v>4.6</v>
      </c>
      <c r="L17" s="12"/>
    </row>
    <row r="18" ht="14.25" customHeight="1">
      <c r="B18" s="2" t="s">
        <v>28</v>
      </c>
      <c r="C18" s="16">
        <v>2.0</v>
      </c>
      <c r="D18" s="17">
        <v>2.0</v>
      </c>
      <c r="E18" s="2"/>
      <c r="F18" s="18">
        <v>2.0</v>
      </c>
      <c r="G18" s="18">
        <v>4.0</v>
      </c>
      <c r="H18" s="2">
        <v>4.0</v>
      </c>
      <c r="I18" s="12">
        <f t="shared" si="1"/>
        <v>2.8</v>
      </c>
      <c r="L18" s="12"/>
    </row>
    <row r="19" ht="14.25" customHeight="1">
      <c r="B19" s="2" t="s">
        <v>29</v>
      </c>
      <c r="C19" s="16">
        <v>3.0</v>
      </c>
      <c r="D19" s="17">
        <v>4.0</v>
      </c>
      <c r="E19" s="2"/>
      <c r="F19" s="18">
        <v>5.0</v>
      </c>
      <c r="G19" s="18">
        <v>5.0</v>
      </c>
      <c r="H19" s="2">
        <v>5.0</v>
      </c>
      <c r="I19" s="12">
        <f t="shared" si="1"/>
        <v>4.4</v>
      </c>
      <c r="L19" s="12"/>
    </row>
    <row r="20" ht="14.25" customHeight="1">
      <c r="B20" s="2" t="s">
        <v>30</v>
      </c>
      <c r="C20" s="16">
        <v>3.0</v>
      </c>
      <c r="D20" s="17">
        <v>4.0</v>
      </c>
      <c r="E20" s="2"/>
      <c r="F20" s="18">
        <v>4.0</v>
      </c>
      <c r="G20" s="18">
        <v>5.0</v>
      </c>
      <c r="H20" s="2">
        <v>4.0</v>
      </c>
      <c r="I20" s="12">
        <f t="shared" si="1"/>
        <v>4</v>
      </c>
      <c r="L20" s="12"/>
    </row>
    <row r="21" ht="14.25" customHeight="1">
      <c r="B21" s="2" t="s">
        <v>31</v>
      </c>
      <c r="C21" s="16">
        <v>5.0</v>
      </c>
      <c r="D21" s="17">
        <v>4.0</v>
      </c>
      <c r="E21" s="2"/>
      <c r="F21" s="18">
        <v>2.0</v>
      </c>
      <c r="G21" s="18">
        <v>4.0</v>
      </c>
      <c r="H21" s="2">
        <v>3.0</v>
      </c>
      <c r="I21" s="12">
        <f t="shared" si="1"/>
        <v>3.6</v>
      </c>
      <c r="L21" s="12"/>
    </row>
    <row r="22" ht="14.25" customHeight="1">
      <c r="B22" s="2" t="s">
        <v>32</v>
      </c>
      <c r="C22" s="16">
        <v>4.0</v>
      </c>
      <c r="D22" s="17">
        <v>3.0</v>
      </c>
      <c r="E22" s="2"/>
      <c r="F22" s="18">
        <v>2.0</v>
      </c>
      <c r="G22" s="18">
        <v>3.0</v>
      </c>
      <c r="H22" s="2">
        <v>4.0</v>
      </c>
      <c r="I22" s="12">
        <f t="shared" si="1"/>
        <v>3.2</v>
      </c>
      <c r="L22" s="12"/>
    </row>
    <row r="23" ht="14.25" customHeight="1">
      <c r="B23" s="2" t="s">
        <v>33</v>
      </c>
      <c r="C23" s="16">
        <v>4.0</v>
      </c>
      <c r="D23" s="17">
        <v>4.0</v>
      </c>
      <c r="E23" s="2"/>
      <c r="F23" s="18">
        <v>4.0</v>
      </c>
      <c r="G23" s="18">
        <v>4.0</v>
      </c>
      <c r="H23" s="2">
        <v>5.0</v>
      </c>
      <c r="I23" s="12">
        <f t="shared" si="1"/>
        <v>4.2</v>
      </c>
      <c r="L23" s="12"/>
    </row>
    <row r="24" ht="14.25" customHeight="1">
      <c r="B24" s="2" t="s">
        <v>34</v>
      </c>
      <c r="C24" s="17">
        <v>3.0</v>
      </c>
      <c r="D24" s="17">
        <v>4.0</v>
      </c>
      <c r="E24" s="2"/>
      <c r="F24" s="18">
        <v>2.0</v>
      </c>
      <c r="G24" s="18">
        <v>5.0</v>
      </c>
      <c r="H24" s="2">
        <v>5.0</v>
      </c>
      <c r="I24" s="12">
        <f t="shared" si="1"/>
        <v>3.8</v>
      </c>
      <c r="L24" s="12"/>
    </row>
    <row r="25" ht="14.25" customHeight="1">
      <c r="B25" s="2"/>
      <c r="E25" s="2"/>
      <c r="L25" s="19"/>
    </row>
    <row r="26" ht="14.25" customHeight="1">
      <c r="B26" s="20"/>
      <c r="C26" s="2" t="s">
        <v>1</v>
      </c>
      <c r="D26" s="2" t="s">
        <v>2</v>
      </c>
      <c r="E26" s="2"/>
      <c r="F26" s="2" t="s">
        <v>3</v>
      </c>
      <c r="G26" s="2" t="s">
        <v>4</v>
      </c>
      <c r="H26" s="2" t="s">
        <v>5</v>
      </c>
      <c r="L26" s="19"/>
    </row>
    <row r="27" ht="14.25" customHeight="1">
      <c r="B27" s="21" t="s">
        <v>35</v>
      </c>
      <c r="C27" s="5" t="s">
        <v>7</v>
      </c>
      <c r="D27" s="6" t="s">
        <v>8</v>
      </c>
      <c r="E27" s="2"/>
      <c r="F27" s="6" t="s">
        <v>9</v>
      </c>
      <c r="G27" s="6" t="s">
        <v>10</v>
      </c>
      <c r="H27" s="7" t="s">
        <v>11</v>
      </c>
      <c r="I27" s="8" t="s">
        <v>12</v>
      </c>
    </row>
    <row r="28" ht="14.25" customHeight="1">
      <c r="B28" s="2" t="s">
        <v>13</v>
      </c>
      <c r="C28" s="16">
        <v>10.0</v>
      </c>
      <c r="D28" s="17">
        <v>10.0</v>
      </c>
      <c r="E28" s="2"/>
      <c r="F28" s="16">
        <v>10.0</v>
      </c>
      <c r="G28" s="17">
        <v>10.0</v>
      </c>
      <c r="H28" s="11">
        <v>10.0</v>
      </c>
      <c r="I28" s="12">
        <f t="shared" ref="I28:I49" si="2">AVERAGE(C3:H3)*2</f>
        <v>10</v>
      </c>
    </row>
    <row r="29" ht="14.25" customHeight="1">
      <c r="B29" s="2" t="s">
        <v>14</v>
      </c>
      <c r="C29" s="13">
        <v>10.0</v>
      </c>
      <c r="D29" s="14">
        <v>10.0</v>
      </c>
      <c r="E29" s="2"/>
      <c r="F29" s="15">
        <v>10.0</v>
      </c>
      <c r="G29" s="15">
        <v>10.0</v>
      </c>
      <c r="H29" s="11">
        <v>9.0</v>
      </c>
      <c r="I29" s="12">
        <f t="shared" si="2"/>
        <v>10</v>
      </c>
    </row>
    <row r="30" ht="14.25" customHeight="1">
      <c r="B30" s="2" t="s">
        <v>15</v>
      </c>
      <c r="C30" s="16">
        <v>7.0</v>
      </c>
      <c r="D30" s="17">
        <v>9.0</v>
      </c>
      <c r="E30" s="2"/>
      <c r="F30" s="17">
        <v>9.0</v>
      </c>
      <c r="G30" s="17">
        <v>10.0</v>
      </c>
      <c r="H30" s="11">
        <v>10.0</v>
      </c>
      <c r="I30" s="12">
        <f t="shared" si="2"/>
        <v>8.8</v>
      </c>
    </row>
    <row r="31" ht="14.25" customHeight="1">
      <c r="B31" s="2" t="s">
        <v>16</v>
      </c>
      <c r="C31" s="16">
        <v>5.0</v>
      </c>
      <c r="D31" s="17">
        <v>8.0</v>
      </c>
      <c r="E31" s="2"/>
      <c r="F31" s="17">
        <v>7.0</v>
      </c>
      <c r="G31" s="17">
        <v>7.0</v>
      </c>
      <c r="H31" s="11">
        <v>10.0</v>
      </c>
      <c r="I31" s="12">
        <f t="shared" si="2"/>
        <v>7.6</v>
      </c>
    </row>
    <row r="32" ht="14.25" customHeight="1">
      <c r="B32" s="2" t="s">
        <v>17</v>
      </c>
      <c r="C32" s="16">
        <v>10.0</v>
      </c>
      <c r="D32" s="17">
        <v>9.0</v>
      </c>
      <c r="E32" s="2"/>
      <c r="F32" s="16">
        <v>9.0</v>
      </c>
      <c r="G32" s="16">
        <v>10.0</v>
      </c>
      <c r="H32" s="11">
        <v>10.0</v>
      </c>
      <c r="I32" s="12">
        <f t="shared" si="2"/>
        <v>10</v>
      </c>
    </row>
    <row r="33" ht="14.25" customHeight="1">
      <c r="B33" s="2" t="s">
        <v>18</v>
      </c>
      <c r="C33" s="16">
        <v>8.0</v>
      </c>
      <c r="D33" s="17">
        <v>9.0</v>
      </c>
      <c r="E33" s="2"/>
      <c r="F33" s="16">
        <v>9.0</v>
      </c>
      <c r="G33" s="16">
        <v>8.0</v>
      </c>
      <c r="H33" s="11">
        <v>7.0</v>
      </c>
      <c r="I33" s="12">
        <f t="shared" si="2"/>
        <v>8.4</v>
      </c>
    </row>
    <row r="34" ht="14.25" customHeight="1">
      <c r="B34" s="2" t="s">
        <v>19</v>
      </c>
      <c r="C34" s="16">
        <v>7.0</v>
      </c>
      <c r="D34" s="17">
        <v>7.0</v>
      </c>
      <c r="E34" s="2"/>
      <c r="F34" s="17">
        <v>6.0</v>
      </c>
      <c r="G34" s="17">
        <v>5.0</v>
      </c>
      <c r="H34" s="11">
        <v>6.0</v>
      </c>
      <c r="I34" s="12">
        <f t="shared" si="2"/>
        <v>5.2</v>
      </c>
    </row>
    <row r="35" ht="14.25" customHeight="1">
      <c r="B35" s="2" t="s">
        <v>20</v>
      </c>
      <c r="C35" s="16">
        <v>10.0</v>
      </c>
      <c r="D35" s="17">
        <v>9.0</v>
      </c>
      <c r="E35" s="2"/>
      <c r="F35" s="17">
        <v>9.0</v>
      </c>
      <c r="G35" s="17">
        <v>8.0</v>
      </c>
      <c r="H35" s="11">
        <v>9.0</v>
      </c>
      <c r="I35" s="12">
        <f t="shared" si="2"/>
        <v>9.6</v>
      </c>
    </row>
    <row r="36" ht="14.25" customHeight="1">
      <c r="B36" s="2" t="s">
        <v>21</v>
      </c>
      <c r="C36" s="16">
        <v>8.0</v>
      </c>
      <c r="D36" s="17">
        <v>9.0</v>
      </c>
      <c r="E36" s="2"/>
      <c r="F36" s="17">
        <v>7.0</v>
      </c>
      <c r="G36" s="17">
        <v>8.0</v>
      </c>
      <c r="H36" s="11">
        <v>8.0</v>
      </c>
      <c r="I36" s="12">
        <f t="shared" si="2"/>
        <v>6</v>
      </c>
    </row>
    <row r="37" ht="14.25" customHeight="1">
      <c r="B37" s="2" t="s">
        <v>22</v>
      </c>
      <c r="C37" s="16">
        <v>10.0</v>
      </c>
      <c r="D37" s="17">
        <v>10.0</v>
      </c>
      <c r="E37" s="2"/>
      <c r="F37" s="17">
        <v>7.0</v>
      </c>
      <c r="G37" s="17">
        <v>8.0</v>
      </c>
      <c r="H37" s="11">
        <v>8.0</v>
      </c>
      <c r="I37" s="12">
        <f t="shared" si="2"/>
        <v>7.6</v>
      </c>
    </row>
    <row r="38" ht="14.25" customHeight="1">
      <c r="B38" s="2" t="s">
        <v>23</v>
      </c>
      <c r="C38" s="16">
        <v>7.0</v>
      </c>
      <c r="D38" s="17">
        <v>8.0</v>
      </c>
      <c r="E38" s="2"/>
      <c r="F38" s="17">
        <v>9.0</v>
      </c>
      <c r="G38" s="17">
        <v>8.0</v>
      </c>
      <c r="H38" s="11">
        <v>7.0</v>
      </c>
      <c r="I38" s="12">
        <f t="shared" si="2"/>
        <v>7.6</v>
      </c>
    </row>
    <row r="39" ht="14.25" customHeight="1">
      <c r="B39" s="2" t="s">
        <v>24</v>
      </c>
      <c r="C39" s="16">
        <v>10.0</v>
      </c>
      <c r="D39" s="17">
        <v>10.0</v>
      </c>
      <c r="E39" s="2"/>
      <c r="F39" s="16">
        <v>9.0</v>
      </c>
      <c r="G39" s="17">
        <v>8.0</v>
      </c>
      <c r="H39" s="11">
        <v>7.0</v>
      </c>
      <c r="I39" s="12">
        <f t="shared" si="2"/>
        <v>4.8</v>
      </c>
    </row>
    <row r="40" ht="14.25" customHeight="1">
      <c r="B40" s="2" t="s">
        <v>25</v>
      </c>
      <c r="C40" s="13">
        <v>10.0</v>
      </c>
      <c r="D40" s="14">
        <v>8.0</v>
      </c>
      <c r="E40" s="2"/>
      <c r="F40" s="15">
        <v>7.0</v>
      </c>
      <c r="G40" s="15">
        <v>10.0</v>
      </c>
      <c r="H40" s="11">
        <v>7.0</v>
      </c>
      <c r="I40" s="12">
        <f t="shared" si="2"/>
        <v>7.2</v>
      </c>
    </row>
    <row r="41" ht="14.25" customHeight="1">
      <c r="B41" s="2" t="s">
        <v>26</v>
      </c>
      <c r="C41" s="16">
        <v>8.0</v>
      </c>
      <c r="D41" s="17">
        <v>9.0</v>
      </c>
      <c r="E41" s="2"/>
      <c r="F41" s="18">
        <v>10.0</v>
      </c>
      <c r="G41" s="18">
        <v>8.0</v>
      </c>
      <c r="H41" s="2">
        <v>10.0</v>
      </c>
      <c r="I41" s="12">
        <f t="shared" si="2"/>
        <v>7.6</v>
      </c>
    </row>
    <row r="42" ht="14.25" customHeight="1">
      <c r="B42" s="2" t="s">
        <v>27</v>
      </c>
      <c r="C42" s="16">
        <v>10.0</v>
      </c>
      <c r="D42" s="17">
        <v>9.0</v>
      </c>
      <c r="E42" s="2"/>
      <c r="F42" s="18">
        <v>9.0</v>
      </c>
      <c r="G42" s="18">
        <v>7.0</v>
      </c>
      <c r="H42" s="2">
        <v>10.0</v>
      </c>
      <c r="I42" s="12">
        <f t="shared" si="2"/>
        <v>9.2</v>
      </c>
    </row>
    <row r="43" ht="14.25" customHeight="1">
      <c r="B43" s="2" t="s">
        <v>28</v>
      </c>
      <c r="C43" s="16">
        <v>8.0</v>
      </c>
      <c r="D43" s="17">
        <v>10.0</v>
      </c>
      <c r="E43" s="2"/>
      <c r="F43" s="18">
        <v>10.0</v>
      </c>
      <c r="G43" s="18">
        <v>10.0</v>
      </c>
      <c r="H43" s="2">
        <v>9.0</v>
      </c>
      <c r="I43" s="12">
        <f t="shared" si="2"/>
        <v>5.6</v>
      </c>
    </row>
    <row r="44" ht="14.25" customHeight="1">
      <c r="B44" s="2" t="s">
        <v>29</v>
      </c>
      <c r="C44" s="16">
        <v>9.0</v>
      </c>
      <c r="D44" s="17">
        <v>9.0</v>
      </c>
      <c r="E44" s="2"/>
      <c r="F44" s="18">
        <v>7.0</v>
      </c>
      <c r="G44" s="18">
        <v>10.0</v>
      </c>
      <c r="H44" s="2">
        <v>10.0</v>
      </c>
      <c r="I44" s="12">
        <f t="shared" si="2"/>
        <v>8.8</v>
      </c>
    </row>
    <row r="45" ht="14.25" customHeight="1">
      <c r="B45" s="2" t="s">
        <v>30</v>
      </c>
      <c r="C45" s="16">
        <v>9.0</v>
      </c>
      <c r="D45" s="17">
        <v>9.0</v>
      </c>
      <c r="E45" s="2"/>
      <c r="F45" s="18">
        <v>10.0</v>
      </c>
      <c r="G45" s="18">
        <v>8.0</v>
      </c>
      <c r="H45" s="2">
        <v>8.0</v>
      </c>
      <c r="I45" s="12">
        <f t="shared" si="2"/>
        <v>8</v>
      </c>
    </row>
    <row r="46" ht="14.25" customHeight="1">
      <c r="B46" s="2" t="s">
        <v>31</v>
      </c>
      <c r="C46" s="16">
        <v>10.0</v>
      </c>
      <c r="D46" s="17">
        <v>10.0</v>
      </c>
      <c r="E46" s="2"/>
      <c r="F46" s="18">
        <v>10.0</v>
      </c>
      <c r="G46" s="18">
        <v>9.0</v>
      </c>
      <c r="H46" s="2">
        <v>8.0</v>
      </c>
      <c r="I46" s="12">
        <f t="shared" si="2"/>
        <v>7.2</v>
      </c>
    </row>
    <row r="47" ht="14.25" customHeight="1">
      <c r="B47" s="2" t="s">
        <v>32</v>
      </c>
      <c r="C47" s="16">
        <v>9.0</v>
      </c>
      <c r="D47" s="17">
        <v>7.0</v>
      </c>
      <c r="E47" s="2"/>
      <c r="F47" s="18">
        <v>7.0</v>
      </c>
      <c r="G47" s="18">
        <v>10.0</v>
      </c>
      <c r="H47" s="2">
        <v>9.0</v>
      </c>
      <c r="I47" s="12">
        <f t="shared" si="2"/>
        <v>6.4</v>
      </c>
    </row>
    <row r="48" ht="14.25" customHeight="1">
      <c r="B48" s="2" t="s">
        <v>33</v>
      </c>
      <c r="C48" s="16">
        <v>10.0</v>
      </c>
      <c r="D48" s="17">
        <v>8.0</v>
      </c>
      <c r="E48" s="2"/>
      <c r="F48" s="18">
        <v>8.0</v>
      </c>
      <c r="G48" s="18">
        <v>10.0</v>
      </c>
      <c r="H48" s="2">
        <v>10.0</v>
      </c>
      <c r="I48" s="12">
        <f t="shared" si="2"/>
        <v>8.4</v>
      </c>
    </row>
    <row r="49" ht="14.25" customHeight="1">
      <c r="B49" s="2" t="s">
        <v>34</v>
      </c>
      <c r="C49" s="16">
        <v>8.0</v>
      </c>
      <c r="D49" s="17">
        <v>8.0</v>
      </c>
      <c r="E49" s="2"/>
      <c r="F49" s="18">
        <v>8.0</v>
      </c>
      <c r="G49" s="18">
        <v>9.0</v>
      </c>
      <c r="H49" s="2">
        <v>10.0</v>
      </c>
      <c r="I49" s="12">
        <f t="shared" si="2"/>
        <v>7.6</v>
      </c>
    </row>
    <row r="50" ht="14.25" customHeight="1">
      <c r="B50" s="22"/>
      <c r="E50" s="2"/>
    </row>
    <row r="51" ht="14.25" customHeight="1">
      <c r="C51" s="2" t="s">
        <v>1</v>
      </c>
      <c r="D51" s="2" t="s">
        <v>2</v>
      </c>
      <c r="E51" s="2"/>
      <c r="F51" s="2" t="s">
        <v>3</v>
      </c>
      <c r="G51" s="2" t="s">
        <v>4</v>
      </c>
      <c r="H51" s="2" t="s">
        <v>5</v>
      </c>
    </row>
    <row r="52" ht="14.25" customHeight="1">
      <c r="B52" s="4" t="s">
        <v>36</v>
      </c>
      <c r="C52" s="5" t="s">
        <v>7</v>
      </c>
      <c r="D52" s="6" t="s">
        <v>8</v>
      </c>
      <c r="E52" s="2"/>
      <c r="F52" s="6" t="s">
        <v>9</v>
      </c>
      <c r="G52" s="6" t="s">
        <v>10</v>
      </c>
      <c r="H52" s="7" t="s">
        <v>11</v>
      </c>
      <c r="I52" s="7" t="s">
        <v>12</v>
      </c>
    </row>
    <row r="53" ht="14.25" customHeight="1">
      <c r="B53" s="2" t="s">
        <v>13</v>
      </c>
      <c r="C53" s="9">
        <v>2.0</v>
      </c>
      <c r="D53" s="10">
        <v>3.0</v>
      </c>
      <c r="E53" s="2"/>
      <c r="F53" s="10">
        <v>3.0</v>
      </c>
      <c r="G53" s="10">
        <v>3.0</v>
      </c>
      <c r="H53" s="11">
        <v>2.0</v>
      </c>
      <c r="I53" s="12">
        <f t="shared" ref="I53:I74" si="3">(C53*0.3)+(E53*0.3)+(F53*0.2)+(G53*0.2)</f>
        <v>1.8</v>
      </c>
    </row>
    <row r="54" ht="14.25" customHeight="1">
      <c r="B54" s="2" t="s">
        <v>14</v>
      </c>
      <c r="C54" s="13">
        <v>2.0</v>
      </c>
      <c r="D54" s="14">
        <v>4.0</v>
      </c>
      <c r="E54" s="2"/>
      <c r="F54" s="15">
        <v>2.0</v>
      </c>
      <c r="G54" s="13">
        <v>5.0</v>
      </c>
      <c r="H54" s="11">
        <v>4.0</v>
      </c>
      <c r="I54" s="12">
        <f t="shared" si="3"/>
        <v>2</v>
      </c>
    </row>
    <row r="55" ht="14.25" customHeight="1">
      <c r="B55" s="2" t="s">
        <v>15</v>
      </c>
      <c r="C55" s="16">
        <v>2.0</v>
      </c>
      <c r="D55" s="17">
        <v>3.0</v>
      </c>
      <c r="E55" s="2"/>
      <c r="F55" s="17">
        <v>2.0</v>
      </c>
      <c r="G55" s="16">
        <v>5.0</v>
      </c>
      <c r="H55" s="11">
        <v>4.0</v>
      </c>
      <c r="I55" s="12">
        <f t="shared" si="3"/>
        <v>2</v>
      </c>
    </row>
    <row r="56" ht="14.25" customHeight="1">
      <c r="B56" s="2" t="s">
        <v>16</v>
      </c>
      <c r="C56" s="16">
        <v>3.0</v>
      </c>
      <c r="D56" s="17">
        <v>2.0</v>
      </c>
      <c r="E56" s="2"/>
      <c r="F56" s="17">
        <v>3.0</v>
      </c>
      <c r="G56" s="16">
        <v>4.0</v>
      </c>
      <c r="H56" s="11">
        <v>3.0</v>
      </c>
      <c r="I56" s="12">
        <f t="shared" si="3"/>
        <v>2.3</v>
      </c>
    </row>
    <row r="57" ht="14.25" customHeight="1">
      <c r="B57" s="2" t="s">
        <v>17</v>
      </c>
      <c r="C57" s="16">
        <v>4.0</v>
      </c>
      <c r="D57" s="17">
        <v>5.0</v>
      </c>
      <c r="E57" s="2"/>
      <c r="F57" s="17">
        <v>4.0</v>
      </c>
      <c r="G57" s="16">
        <v>5.0</v>
      </c>
      <c r="H57" s="11">
        <v>2.0</v>
      </c>
      <c r="I57" s="12">
        <f t="shared" si="3"/>
        <v>3</v>
      </c>
    </row>
    <row r="58" ht="14.25" customHeight="1">
      <c r="B58" s="2" t="s">
        <v>18</v>
      </c>
      <c r="C58" s="16">
        <v>3.0</v>
      </c>
      <c r="D58" s="17">
        <v>3.0</v>
      </c>
      <c r="E58" s="2"/>
      <c r="F58" s="17">
        <v>4.0</v>
      </c>
      <c r="G58" s="16">
        <v>4.0</v>
      </c>
      <c r="H58" s="11">
        <v>3.0</v>
      </c>
      <c r="I58" s="12">
        <f t="shared" si="3"/>
        <v>2.5</v>
      </c>
    </row>
    <row r="59" ht="14.25" customHeight="1">
      <c r="B59" s="2" t="s">
        <v>19</v>
      </c>
      <c r="C59" s="16">
        <v>4.0</v>
      </c>
      <c r="D59" s="17">
        <v>4.0</v>
      </c>
      <c r="E59" s="2"/>
      <c r="F59" s="16">
        <v>4.0</v>
      </c>
      <c r="G59" s="16">
        <v>4.0</v>
      </c>
      <c r="H59" s="11">
        <v>2.0</v>
      </c>
      <c r="I59" s="12">
        <f t="shared" si="3"/>
        <v>2.8</v>
      </c>
    </row>
    <row r="60" ht="14.25" customHeight="1">
      <c r="B60" s="2" t="s">
        <v>20</v>
      </c>
      <c r="C60" s="16">
        <v>3.0</v>
      </c>
      <c r="D60" s="17">
        <v>2.0</v>
      </c>
      <c r="E60" s="2"/>
      <c r="F60" s="16">
        <v>3.0</v>
      </c>
      <c r="G60" s="16">
        <v>3.0</v>
      </c>
      <c r="H60" s="11">
        <v>3.0</v>
      </c>
      <c r="I60" s="12">
        <f t="shared" si="3"/>
        <v>2.1</v>
      </c>
    </row>
    <row r="61" ht="14.25" customHeight="1">
      <c r="B61" s="2" t="s">
        <v>21</v>
      </c>
      <c r="C61" s="16">
        <v>4.0</v>
      </c>
      <c r="D61" s="17">
        <v>4.0</v>
      </c>
      <c r="E61" s="2"/>
      <c r="F61" s="17">
        <v>3.0</v>
      </c>
      <c r="G61" s="16">
        <v>5.0</v>
      </c>
      <c r="H61" s="11">
        <v>2.0</v>
      </c>
      <c r="I61" s="12">
        <f t="shared" si="3"/>
        <v>2.8</v>
      </c>
    </row>
    <row r="62" ht="14.25" customHeight="1">
      <c r="B62" s="2" t="s">
        <v>22</v>
      </c>
      <c r="C62" s="16">
        <v>3.0</v>
      </c>
      <c r="D62" s="17">
        <v>4.0</v>
      </c>
      <c r="E62" s="2"/>
      <c r="F62" s="17">
        <v>3.0</v>
      </c>
      <c r="G62" s="16">
        <v>5.0</v>
      </c>
      <c r="H62" s="11">
        <v>3.0</v>
      </c>
      <c r="I62" s="12">
        <f t="shared" si="3"/>
        <v>2.5</v>
      </c>
    </row>
    <row r="63" ht="14.25" customHeight="1">
      <c r="B63" s="2" t="s">
        <v>23</v>
      </c>
      <c r="C63" s="16">
        <v>2.0</v>
      </c>
      <c r="D63" s="17">
        <v>2.0</v>
      </c>
      <c r="E63" s="2"/>
      <c r="F63" s="17">
        <v>2.0</v>
      </c>
      <c r="G63" s="16">
        <v>4.0</v>
      </c>
      <c r="H63" s="11">
        <v>2.0</v>
      </c>
      <c r="I63" s="12">
        <f t="shared" si="3"/>
        <v>1.8</v>
      </c>
    </row>
    <row r="64" ht="14.25" customHeight="1">
      <c r="B64" s="2" t="s">
        <v>24</v>
      </c>
      <c r="C64" s="16">
        <v>2.0</v>
      </c>
      <c r="D64" s="17">
        <v>2.0</v>
      </c>
      <c r="E64" s="2"/>
      <c r="F64" s="17">
        <v>2.0</v>
      </c>
      <c r="G64" s="16">
        <v>4.0</v>
      </c>
      <c r="H64" s="11">
        <v>2.0</v>
      </c>
      <c r="I64" s="12">
        <f t="shared" si="3"/>
        <v>1.8</v>
      </c>
    </row>
    <row r="65" ht="14.25" customHeight="1">
      <c r="B65" s="2" t="s">
        <v>25</v>
      </c>
      <c r="C65" s="13">
        <v>4.0</v>
      </c>
      <c r="D65" s="14">
        <v>4.0</v>
      </c>
      <c r="E65" s="2"/>
      <c r="F65" s="15">
        <v>3.0</v>
      </c>
      <c r="G65" s="13">
        <v>4.0</v>
      </c>
      <c r="H65" s="11">
        <v>3.0</v>
      </c>
      <c r="I65" s="12">
        <f t="shared" si="3"/>
        <v>2.6</v>
      </c>
    </row>
    <row r="66" ht="14.25" customHeight="1">
      <c r="B66" s="2" t="s">
        <v>26</v>
      </c>
      <c r="C66" s="16">
        <v>2.0</v>
      </c>
      <c r="D66" s="17">
        <v>1.0</v>
      </c>
      <c r="E66" s="2"/>
      <c r="F66" s="18">
        <v>1.0</v>
      </c>
      <c r="G66" s="2">
        <v>1.0</v>
      </c>
      <c r="H66" s="2">
        <v>2.0</v>
      </c>
      <c r="I66" s="12">
        <f t="shared" si="3"/>
        <v>1</v>
      </c>
    </row>
    <row r="67" ht="14.25" customHeight="1">
      <c r="B67" s="2" t="s">
        <v>27</v>
      </c>
      <c r="C67" s="16">
        <v>3.0</v>
      </c>
      <c r="D67" s="17">
        <v>5.0</v>
      </c>
      <c r="E67" s="2"/>
      <c r="F67" s="18">
        <v>5.0</v>
      </c>
      <c r="G67" s="2">
        <v>5.0</v>
      </c>
      <c r="H67" s="2">
        <v>5.0</v>
      </c>
      <c r="I67" s="12">
        <f t="shared" si="3"/>
        <v>2.9</v>
      </c>
    </row>
    <row r="68" ht="14.25" customHeight="1">
      <c r="B68" s="2" t="s">
        <v>28</v>
      </c>
      <c r="C68" s="16">
        <v>3.0</v>
      </c>
      <c r="D68" s="17">
        <v>2.0</v>
      </c>
      <c r="E68" s="2"/>
      <c r="F68" s="18">
        <v>2.0</v>
      </c>
      <c r="G68" s="2">
        <v>4.0</v>
      </c>
      <c r="H68" s="2">
        <v>4.0</v>
      </c>
      <c r="I68" s="12">
        <f t="shared" si="3"/>
        <v>2.1</v>
      </c>
    </row>
    <row r="69" ht="14.25" customHeight="1">
      <c r="B69" s="2" t="s">
        <v>29</v>
      </c>
      <c r="C69" s="16">
        <v>4.0</v>
      </c>
      <c r="D69" s="17">
        <v>3.0</v>
      </c>
      <c r="E69" s="2"/>
      <c r="F69" s="18">
        <v>5.0</v>
      </c>
      <c r="G69" s="2">
        <v>5.0</v>
      </c>
      <c r="H69" s="2">
        <v>4.0</v>
      </c>
      <c r="I69" s="12">
        <f t="shared" si="3"/>
        <v>3.2</v>
      </c>
    </row>
    <row r="70" ht="14.25" customHeight="1">
      <c r="B70" s="2" t="s">
        <v>30</v>
      </c>
      <c r="C70" s="16">
        <v>4.0</v>
      </c>
      <c r="D70" s="17">
        <v>3.0</v>
      </c>
      <c r="E70" s="2"/>
      <c r="F70" s="18">
        <v>4.0</v>
      </c>
      <c r="G70" s="2">
        <v>4.0</v>
      </c>
      <c r="H70" s="2">
        <v>2.0</v>
      </c>
      <c r="I70" s="12">
        <f t="shared" si="3"/>
        <v>2.8</v>
      </c>
    </row>
    <row r="71" ht="14.25" customHeight="1">
      <c r="B71" s="2" t="s">
        <v>31</v>
      </c>
      <c r="C71" s="17">
        <v>3.0</v>
      </c>
      <c r="D71" s="17">
        <v>3.0</v>
      </c>
      <c r="E71" s="2"/>
      <c r="F71" s="18">
        <v>2.0</v>
      </c>
      <c r="G71" s="2">
        <v>4.0</v>
      </c>
      <c r="H71" s="2">
        <v>3.0</v>
      </c>
      <c r="I71" s="12">
        <f t="shared" si="3"/>
        <v>2.1</v>
      </c>
    </row>
    <row r="72" ht="14.25" customHeight="1">
      <c r="B72" s="2" t="s">
        <v>32</v>
      </c>
      <c r="C72" s="16">
        <v>3.0</v>
      </c>
      <c r="D72" s="17">
        <v>2.0</v>
      </c>
      <c r="E72" s="2"/>
      <c r="F72" s="18">
        <v>2.0</v>
      </c>
      <c r="G72" s="2">
        <v>3.0</v>
      </c>
      <c r="H72" s="2">
        <v>3.0</v>
      </c>
      <c r="I72" s="12">
        <f t="shared" si="3"/>
        <v>1.9</v>
      </c>
    </row>
    <row r="73" ht="14.25" customHeight="1">
      <c r="B73" s="2" t="s">
        <v>33</v>
      </c>
      <c r="C73" s="16">
        <v>2.0</v>
      </c>
      <c r="D73" s="17">
        <v>4.0</v>
      </c>
      <c r="E73" s="2"/>
      <c r="F73" s="18">
        <v>3.0</v>
      </c>
      <c r="G73" s="2">
        <v>4.0</v>
      </c>
      <c r="H73" s="2">
        <v>4.0</v>
      </c>
      <c r="I73" s="12">
        <f t="shared" si="3"/>
        <v>2</v>
      </c>
    </row>
    <row r="74" ht="14.25" customHeight="1">
      <c r="B74" s="2" t="s">
        <v>34</v>
      </c>
      <c r="C74" s="16">
        <v>2.0</v>
      </c>
      <c r="D74" s="17">
        <v>1.0</v>
      </c>
      <c r="E74" s="2"/>
      <c r="F74" s="18">
        <v>1.0</v>
      </c>
      <c r="G74" s="2">
        <v>1.0</v>
      </c>
      <c r="H74" s="2">
        <v>5.0</v>
      </c>
      <c r="I74" s="12">
        <f t="shared" si="3"/>
        <v>1</v>
      </c>
    </row>
    <row r="75" ht="14.25" customHeight="1"/>
    <row r="76" ht="14.25" customHeight="1">
      <c r="B76" s="23" t="s">
        <v>37</v>
      </c>
      <c r="E76" s="22"/>
      <c r="I76" s="24" t="s">
        <v>38</v>
      </c>
    </row>
    <row r="77" ht="14.25" customHeight="1">
      <c r="B77" s="2" t="s">
        <v>13</v>
      </c>
      <c r="I77" s="25">
        <f t="shared" ref="I77:I98" si="4">(I3*I28)/I53</f>
        <v>27.77777778</v>
      </c>
    </row>
    <row r="78" ht="14.25" customHeight="1">
      <c r="B78" s="2" t="s">
        <v>14</v>
      </c>
      <c r="I78" s="25">
        <f t="shared" si="4"/>
        <v>25</v>
      </c>
    </row>
    <row r="79" ht="14.25" customHeight="1">
      <c r="B79" s="2" t="s">
        <v>15</v>
      </c>
      <c r="I79" s="25">
        <f t="shared" si="4"/>
        <v>19.36</v>
      </c>
    </row>
    <row r="80" ht="14.25" customHeight="1">
      <c r="B80" s="2" t="s">
        <v>16</v>
      </c>
      <c r="I80" s="25">
        <f t="shared" si="4"/>
        <v>12.55652174</v>
      </c>
    </row>
    <row r="81" ht="14.25" customHeight="1">
      <c r="B81" s="2" t="s">
        <v>17</v>
      </c>
      <c r="I81" s="25">
        <f t="shared" si="4"/>
        <v>16.66666667</v>
      </c>
    </row>
    <row r="82" ht="14.25" customHeight="1">
      <c r="B82" s="2" t="s">
        <v>18</v>
      </c>
      <c r="I82" s="25">
        <f t="shared" si="4"/>
        <v>14.112</v>
      </c>
    </row>
    <row r="83" ht="14.25" customHeight="1">
      <c r="B83" s="2" t="s">
        <v>19</v>
      </c>
      <c r="I83" s="25">
        <f t="shared" si="4"/>
        <v>4.828571429</v>
      </c>
    </row>
    <row r="84" ht="14.25" customHeight="1">
      <c r="B84" s="2" t="s">
        <v>20</v>
      </c>
      <c r="I84" s="25">
        <f t="shared" si="4"/>
        <v>21.94285714</v>
      </c>
    </row>
    <row r="85" ht="14.25" customHeight="1">
      <c r="B85" s="2" t="s">
        <v>21</v>
      </c>
      <c r="I85" s="25">
        <f t="shared" si="4"/>
        <v>6.428571429</v>
      </c>
    </row>
    <row r="86" ht="14.25" customHeight="1">
      <c r="B86" s="2" t="s">
        <v>22</v>
      </c>
      <c r="I86" s="25">
        <f t="shared" si="4"/>
        <v>11.552</v>
      </c>
    </row>
    <row r="87" ht="14.25" customHeight="1">
      <c r="B87" s="2" t="s">
        <v>23</v>
      </c>
      <c r="I87" s="25">
        <f t="shared" si="4"/>
        <v>16.04444444</v>
      </c>
    </row>
    <row r="88" ht="14.25" customHeight="1">
      <c r="B88" s="2" t="s">
        <v>24</v>
      </c>
      <c r="I88" s="25">
        <f t="shared" si="4"/>
        <v>6.4</v>
      </c>
    </row>
    <row r="89" ht="14.25" customHeight="1">
      <c r="B89" s="2" t="s">
        <v>25</v>
      </c>
      <c r="I89" s="25">
        <f t="shared" si="4"/>
        <v>9.969230769</v>
      </c>
    </row>
    <row r="90" ht="14.25" customHeight="1">
      <c r="B90" s="2" t="s">
        <v>26</v>
      </c>
      <c r="I90" s="25">
        <f t="shared" si="4"/>
        <v>28.88</v>
      </c>
    </row>
    <row r="91" ht="14.25" customHeight="1">
      <c r="B91" s="2" t="s">
        <v>27</v>
      </c>
      <c r="I91" s="25">
        <f t="shared" si="4"/>
        <v>14.59310345</v>
      </c>
    </row>
    <row r="92" ht="14.25" customHeight="1">
      <c r="B92" s="2" t="s">
        <v>28</v>
      </c>
      <c r="I92" s="25">
        <f t="shared" si="4"/>
        <v>7.466666667</v>
      </c>
    </row>
    <row r="93" ht="14.25" customHeight="1">
      <c r="B93" s="2" t="s">
        <v>29</v>
      </c>
      <c r="I93" s="25">
        <f t="shared" si="4"/>
        <v>12.1</v>
      </c>
    </row>
    <row r="94" ht="14.25" customHeight="1">
      <c r="B94" s="2" t="s">
        <v>30</v>
      </c>
      <c r="I94" s="25">
        <f t="shared" si="4"/>
        <v>11.42857143</v>
      </c>
    </row>
    <row r="95" ht="14.25" customHeight="1">
      <c r="B95" s="2" t="s">
        <v>31</v>
      </c>
      <c r="I95" s="25">
        <f t="shared" si="4"/>
        <v>12.34285714</v>
      </c>
    </row>
    <row r="96" ht="14.25" customHeight="1">
      <c r="B96" s="2" t="s">
        <v>32</v>
      </c>
      <c r="I96" s="25">
        <f t="shared" si="4"/>
        <v>10.77894737</v>
      </c>
    </row>
    <row r="97" ht="14.25" customHeight="1">
      <c r="B97" s="2" t="s">
        <v>33</v>
      </c>
      <c r="I97" s="25">
        <f t="shared" si="4"/>
        <v>17.64</v>
      </c>
    </row>
    <row r="98" ht="14.25" customHeight="1">
      <c r="B98" s="2" t="s">
        <v>34</v>
      </c>
      <c r="I98" s="25">
        <f t="shared" si="4"/>
        <v>28.88</v>
      </c>
    </row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2025-04-10T21:17:59Z</dcterms:created>
  <dc:creator>JORGE ANDRES GALINDO</dc:creator>
</cp:coreProperties>
</file>