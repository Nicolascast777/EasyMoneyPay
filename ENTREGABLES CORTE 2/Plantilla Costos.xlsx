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Estimar CostosxHora" sheetId="1" r:id="rId4"/>
    <sheet state="hidden" name="Estimar por puntos de historia" sheetId="2" r:id="rId5"/>
    <sheet state="visible" name="Presupuesto" sheetId="3" r:id="rId6"/>
    <sheet state="visible" name="costo por recurso o punto de H" sheetId="4" r:id="rId7"/>
  </sheets>
  <definedNames>
    <definedName hidden="1" localSheetId="2" name="_xlnm._FilterDatabase">Presupuesto!$A$31:$F$43</definedName>
  </definedNames>
  <calcPr/>
  <extLst>
    <ext uri="GoogleSheetsCustomDataVersion2">
      <go:sheetsCustomData xmlns:go="http://customooxmlschemas.google.com/" r:id="rId8" roundtripDataChecksum="pEZleUOncM7FxmxqlJUE9UDxQjms2JVCWzEVdkkZGq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4">
      <text>
        <t xml:space="preserve">Se puede usar el valor obtenido de los paquetes de trabajo o módulos, en vez de la tabla de la nómina cuando se ha calculado el costo de la hora por recurso
======</t>
      </text>
    </comment>
    <comment authorId="0" ref="A57">
      <text>
        <t xml:space="preserve">Puede estar entre el 5 y 10 % del costo total del proyecto.
Para lo que se llama imprevistos, riesgos no conocidos.
Por ejemplo:
10% del valor del proyecto para enfrentar posibles problemas técnicos
======</t>
      </text>
    </comment>
  </commentList>
</comments>
</file>

<file path=xl/sharedStrings.xml><?xml version="1.0" encoding="utf-8"?>
<sst xmlns="http://schemas.openxmlformats.org/spreadsheetml/2006/main" count="318" uniqueCount="144">
  <si>
    <t xml:space="preserve">PLANTILLA DE AYUDA PARA COSTOS  </t>
  </si>
  <si>
    <t>PLANTILLA COSTOS</t>
  </si>
  <si>
    <t>Módulo / Épica</t>
  </si>
  <si>
    <t xml:space="preserve">Id. Act </t>
  </si>
  <si>
    <t>Actividad /Tarea</t>
  </si>
  <si>
    <t>Tipo de recurso (Personal, Materiales, Equipo)</t>
  </si>
  <si>
    <t xml:space="preserve">Recursos </t>
  </si>
  <si>
    <t>Disponibilidad  de Cada Recurso ( Capacidad Maxima por día) (%,horas)</t>
  </si>
  <si>
    <t>p</t>
  </si>
  <si>
    <t>m</t>
  </si>
  <si>
    <t>o</t>
  </si>
  <si>
    <t>Esfuerzo (pert) horas</t>
  </si>
  <si>
    <t>Desviación (p-0)/6</t>
  </si>
  <si>
    <t>Duración de  actividad(esfuerzo en horas)</t>
  </si>
  <si>
    <t>Capacidad Máxima (% Horas¨dia)</t>
  </si>
  <si>
    <t>Disponibilidad Recurso Horas al dia</t>
  </si>
  <si>
    <t>Costo recurso por hora</t>
  </si>
  <si>
    <t>Costo por actividad</t>
  </si>
  <si>
    <t>costo por W.P</t>
  </si>
  <si>
    <t>Autenticación</t>
  </si>
  <si>
    <t>Registrar usuarios nuevos</t>
  </si>
  <si>
    <t>Personal</t>
  </si>
  <si>
    <t>Desarrollador</t>
  </si>
  <si>
    <t>Contruir requisitos</t>
  </si>
  <si>
    <t>Product Owner</t>
  </si>
  <si>
    <t>Desarrollo de funciones</t>
  </si>
  <si>
    <t>Equipo</t>
  </si>
  <si>
    <t>Desarrolladores, testers</t>
  </si>
  <si>
    <t>Desarrollo de diseño</t>
  </si>
  <si>
    <t>Scrum master</t>
  </si>
  <si>
    <t>Desarrollo de experiencia de usuario</t>
  </si>
  <si>
    <t>Desarrolladores</t>
  </si>
  <si>
    <t>Desarrollo de Base de datos</t>
  </si>
  <si>
    <t>Desarrolllo panel de administrador</t>
  </si>
  <si>
    <t>Desarrolladores, Testers</t>
  </si>
  <si>
    <t>Registrar claves de admon</t>
  </si>
  <si>
    <t>Desarrollo conexion con base de datos</t>
  </si>
  <si>
    <t>Sprints</t>
  </si>
  <si>
    <t>Todos</t>
  </si>
  <si>
    <t>Entrega de avances al cliente</t>
  </si>
  <si>
    <t>Desarrollo metodos de pagos</t>
  </si>
  <si>
    <t>equipo</t>
  </si>
  <si>
    <t>Conexion con la pasarela de pagos (PSE ETC)</t>
  </si>
  <si>
    <t>Desarrollo de pruebas funcionales</t>
  </si>
  <si>
    <t>Desarrollo de tokens</t>
  </si>
  <si>
    <t>PLANTILLA DE AYUDA PARA ESTIMACIÓN</t>
  </si>
  <si>
    <t>HU</t>
  </si>
  <si>
    <t>Punto de historia</t>
  </si>
  <si>
    <t>Costo punto de historia</t>
  </si>
  <si>
    <t>costo por Módulo/Épica</t>
  </si>
  <si>
    <t>ACCESO</t>
  </si>
  <si>
    <t>como usuario consumidor, quiero poder acceder  al sistema para poder  hacer la orden y agregar a mas usuarios a la cuenta</t>
  </si>
  <si>
    <t>Asegurar que el Qr sea legible para que el consumidor pueda acceder a la pagina</t>
  </si>
  <si>
    <t>Implementación de la funcionalidad back-end</t>
  </si>
  <si>
    <t>Agregar validación y manejo de errores</t>
  </si>
  <si>
    <t>Pruebas y verificación</t>
  </si>
  <si>
    <t>GESTION</t>
  </si>
  <si>
    <t>Al ingrear a una misma mesa el sistema debe de ir diviendo el monto total de la cuenta según el numero n de usuarios pertenecientes a la misma orden</t>
  </si>
  <si>
    <t>como usuario consumidor, quiero que el sistema divida el monto total por el numero de usuarios de la misma mesa, ticket con el monto total se le enviara al primer usuario que se loggeo, si hay un usuario que pidio un  producto aparte el costo de ese producto se le agrega a su monto por pagar</t>
  </si>
  <si>
    <t>Asegurar que el sistema me divida el monto total correctamente</t>
  </si>
  <si>
    <t>enviar correctamente el ticket al primer usuario que se loggeo</t>
  </si>
  <si>
    <t>implemetar a su monto final, el costo del producto que pidio adiccionalmete el usuario</t>
  </si>
  <si>
    <t>como administrador quiero poder ver el resumen de pagos echos  de manera compartida</t>
  </si>
  <si>
    <t>Asegurar que el sistema pueda revisar todos los pagos que se han echo de manera compartida</t>
  </si>
  <si>
    <t>Como usuario consumidor quiero ingresar mi numero de orden dentro de un apartado de la pagina para validar que hago parte de la cuenta correcta;  ademas de poder ver los productos por los que estoy pagando; adicionalmente quiero poder asumir el 100% del monto de otro integrante de la mesa para evitar que en caso de perdida de conexion o otras razones no se pueda concretar el pago.</t>
  </si>
  <si>
    <t>Asegurar que pueda ingresar el numero de esa y el numero de orden y verificar que si sea mi mesa y en caso de que no exista la masa salga un error</t>
  </si>
  <si>
    <t>Asegurar que el usuario pueda ver un resumen de su compra para seguridad y transpariencia</t>
  </si>
  <si>
    <t>Asegurar que el usuario pueda asumir todo el valor a pagar de otro usuario por si algo ocurre con ese usuario</t>
  </si>
  <si>
    <t>PAGOS</t>
  </si>
  <si>
    <t>Como usuario consumidor quiero ser redirigido a una pasarela de pagos para poder cancelar mi parte de la cuenta de forma digital</t>
  </si>
  <si>
    <t>Asegurar la conexion a la pasarela de pagos</t>
  </si>
  <si>
    <t>Como cajero quiero poder verificar en tiempo real que el usuario ya realizo el pago.</t>
  </si>
  <si>
    <t>Implemenetar el diseño adecuado para que el cajero pueda verificar de forma sencilla que ya el pago se realizo</t>
  </si>
  <si>
    <t>Como Usuario quiero que se me verifique que ya realice el pago.</t>
  </si>
  <si>
    <t>Asegurar que la notificacion del pago se vea reflejada en el perfil el cajero, especificamente en la pantalla</t>
  </si>
  <si>
    <t>Como usuario consumidor quiero poder asumir el 100% del pago de un producto específico para cubrir el gasto de otro integrante de la mesa</t>
  </si>
  <si>
    <t>Se tiene que asegurar que el usuario pueda asumir en la totalidad un monto de otro usuario</t>
  </si>
  <si>
    <t>Como usuario consumidor quiero seleccionar que metodo de pago utilizaré.</t>
  </si>
  <si>
    <t>Asegurar que el usuario pueda seleccionar un metodo de pago</t>
  </si>
  <si>
    <t>Como cajero quiero recibir una confirmación automática cuando todos los usuarios de la mesa hayan pagado para poder cerrar la mesa formalmente</t>
  </si>
  <si>
    <t>INDEMNIZACIONES</t>
  </si>
  <si>
    <t>DURACIÓN DEL PROYECTO MESES</t>
  </si>
  <si>
    <t>RESERVA GERENCIAL</t>
  </si>
  <si>
    <t>HORAS A TRABAJAR POR MES</t>
  </si>
  <si>
    <t>Alternativa Esquema Actual</t>
  </si>
  <si>
    <t>NOMINA</t>
  </si>
  <si>
    <t>CARGO</t>
  </si>
  <si>
    <t>CANTIDAD</t>
  </si>
  <si>
    <t>SALARIO</t>
  </si>
  <si>
    <t>INCENTIVOS</t>
  </si>
  <si>
    <t>PRESTACIONES</t>
  </si>
  <si>
    <t>COSTO + INDEM</t>
  </si>
  <si>
    <t>COSTO HORA</t>
  </si>
  <si>
    <t>COSTO MENSUAL</t>
  </si>
  <si>
    <t>Desarrollador junior</t>
  </si>
  <si>
    <t>Arquitecto</t>
  </si>
  <si>
    <t>Gerente de proyectos</t>
  </si>
  <si>
    <t>QA</t>
  </si>
  <si>
    <t xml:space="preserve"> </t>
  </si>
  <si>
    <t>Cantidad de personal</t>
  </si>
  <si>
    <t>ESTIMADO MENSUAL</t>
  </si>
  <si>
    <t xml:space="preserve"> TOTAL ESTIMADO PROYECTO</t>
  </si>
  <si>
    <t>OTROS COSTOS</t>
  </si>
  <si>
    <t>ITEM</t>
  </si>
  <si>
    <t>TIPO(Directo/Indirecto)</t>
  </si>
  <si>
    <t>COSTO  UNITARIO</t>
  </si>
  <si>
    <t>COSTO TOTAL</t>
  </si>
  <si>
    <t>Telefonía y Comunicaciones</t>
  </si>
  <si>
    <t>Directo</t>
  </si>
  <si>
    <t>Hosting de Pagina Web</t>
  </si>
  <si>
    <t>NAS (Sistema de almacenamiento compartido)</t>
  </si>
  <si>
    <t xml:space="preserve">TOTAL OTROS COSTOS </t>
  </si>
  <si>
    <t>TIPO DE RESERVA CONTINGENCIA</t>
  </si>
  <si>
    <t>VALOR</t>
  </si>
  <si>
    <t>TOTAL DE LA RESERVA  CONTINGENCIA</t>
  </si>
  <si>
    <t>ESTIMADO RECURSO HUMANO</t>
  </si>
  <si>
    <t xml:space="preserve">COSTO DE LA RESERVA DE CONTINGENCIA </t>
  </si>
  <si>
    <t xml:space="preserve">COSTO DE RESERVA GERENCIAL (       5   %) </t>
  </si>
  <si>
    <t>UTILIDAD (%10)</t>
  </si>
  <si>
    <t xml:space="preserve">COSTO DEL PRESUPUESTO DEL PROYECTO </t>
  </si>
  <si>
    <t>%</t>
  </si>
  <si>
    <t>Monto</t>
  </si>
  <si>
    <t>Horas trabajadas mensuales</t>
  </si>
  <si>
    <t>Salario base</t>
  </si>
  <si>
    <t>Subsidio de transporte</t>
  </si>
  <si>
    <t>Salario Mensual</t>
  </si>
  <si>
    <t>Prima Legal</t>
  </si>
  <si>
    <t>Cesantias</t>
  </si>
  <si>
    <t>Intereses a las cesantias</t>
  </si>
  <si>
    <t>Vacaciones</t>
  </si>
  <si>
    <t>Total prestaciones</t>
  </si>
  <si>
    <t>Aportes a salud</t>
  </si>
  <si>
    <t>Aportes a pensión</t>
  </si>
  <si>
    <t>Parafiscales</t>
  </si>
  <si>
    <t>ARL Riesgo Administrativo</t>
  </si>
  <si>
    <t>Total Aportes</t>
  </si>
  <si>
    <t>Total Mensual</t>
  </si>
  <si>
    <t>Total Anual</t>
  </si>
  <si>
    <t>Total Hora</t>
  </si>
  <si>
    <t>Total horas de trabajo proyecto</t>
  </si>
  <si>
    <t>Horas de trabajo por mes</t>
  </si>
  <si>
    <t>Costo del equipo por mes</t>
  </si>
  <si>
    <t>Valor horas de trabajo por mes</t>
  </si>
  <si>
    <t>Valor del esfuerzo</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</si>
</sst>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_ &quot;$&quot;\ * #,##0_ ;_ &quot;$&quot;\ * \-#,##0_ ;_ &quot;$&quot;\ * &quot;-&quot;??_ ;_ @_ "/>
    <numFmt numFmtId="165" formatCode="_ * #,##0_ ;_ * \-#,##0_ ;_ * &quot;-&quot;??_ ;_ @_ "/>
    <numFmt numFmtId="166" formatCode="_ * #,##0.0_ ;_ * \-#,##0.0_ ;_ * &quot;-&quot;??_ ;_ @_ "/>
    <numFmt numFmtId="167" formatCode="#,##0.0"/>
    <numFmt numFmtId="168" formatCode="0.000%"/>
  </numFmts>
  <fonts count="25">
    <font>
      <sz val="11.0"/>
      <color theme="1"/>
      <name val="Calibri"/>
      <scheme val="minor"/>
    </font>
    <font>
      <b/>
      <sz val="14.0"/>
      <color rgb="FF000000"/>
      <name val="Calibri"/>
    </font>
    <font/>
    <font>
      <b/>
      <sz val="14.0"/>
      <color theme="1"/>
      <name val="Calibri"/>
    </font>
    <font>
      <b/>
      <sz val="9.0"/>
      <color rgb="FFFFFFFF"/>
      <name val="Calibri"/>
    </font>
    <font>
      <b/>
      <sz val="6.0"/>
      <color rgb="FF000000"/>
      <name val="Calibri"/>
    </font>
    <font>
      <sz val="7.0"/>
      <color rgb="FF000000"/>
      <name val="Calibri"/>
    </font>
    <font>
      <sz val="8.0"/>
      <color rgb="FF000000"/>
      <name val="Calibri"/>
    </font>
    <font>
      <sz val="11.0"/>
      <color theme="1"/>
      <name val="Calibri"/>
    </font>
    <font>
      <sz val="9.0"/>
      <color theme="1"/>
      <name val="Calibri"/>
      <scheme val="minor"/>
    </font>
    <font>
      <sz val="7.0"/>
      <color theme="1"/>
      <name val="Calibri"/>
    </font>
    <font>
      <sz val="6.0"/>
      <color rgb="FF000000"/>
      <name val="Calibri"/>
    </font>
    <font>
      <b/>
      <sz val="10.0"/>
      <color rgb="FF000000"/>
      <name val="Calibri"/>
    </font>
    <font>
      <sz val="10.0"/>
      <color rgb="FF000000"/>
      <name val="Calibri"/>
    </font>
    <font>
      <sz val="9.0"/>
      <color rgb="FF000000"/>
      <name val="Calibri"/>
    </font>
    <font>
      <color theme="1"/>
      <name val="Calibri"/>
      <scheme val="minor"/>
    </font>
    <font>
      <b/>
      <sz val="10.0"/>
      <color theme="0"/>
      <name val="Arial"/>
    </font>
    <font>
      <sz val="10.0"/>
      <color theme="1"/>
      <name val="Arial"/>
    </font>
    <font>
      <b/>
      <sz val="10.0"/>
      <color rgb="FFFFFFFF"/>
      <name val="Arial"/>
    </font>
    <font>
      <sz val="11.0"/>
      <color rgb="FF000000"/>
      <name val="Calibri"/>
    </font>
    <font>
      <b/>
      <sz val="10.0"/>
      <color theme="1"/>
      <name val="Arial"/>
    </font>
    <font>
      <b/>
      <sz val="11.0"/>
      <color theme="1"/>
      <name val="Calibri"/>
    </font>
    <font>
      <b/>
      <sz val="11.0"/>
      <color theme="0"/>
      <name val="Calibri"/>
    </font>
    <font>
      <b/>
      <sz val="9.0"/>
      <color theme="1"/>
      <name val="Calibri"/>
    </font>
    <font>
      <b/>
      <sz val="10.0"/>
      <color theme="1"/>
      <name val="Calibri"/>
    </font>
  </fonts>
  <fills count="23">
    <fill>
      <patternFill patternType="none"/>
    </fill>
    <fill>
      <patternFill patternType="lightGray"/>
    </fill>
    <fill>
      <patternFill patternType="solid">
        <fgColor rgb="FF92CDDC"/>
        <bgColor rgb="FF92CDDC"/>
      </patternFill>
    </fill>
    <fill>
      <patternFill patternType="solid">
        <fgColor rgb="FFD6E3BC"/>
        <bgColor rgb="FFD6E3BC"/>
      </patternFill>
    </fill>
    <fill>
      <patternFill patternType="solid">
        <fgColor rgb="FF31859B"/>
        <bgColor rgb="FF31859B"/>
      </patternFill>
    </fill>
    <fill>
      <patternFill patternType="solid">
        <fgColor rgb="FF45818E"/>
        <bgColor rgb="FF45818E"/>
      </patternFill>
    </fill>
    <fill>
      <patternFill patternType="solid">
        <fgColor rgb="FF92D050"/>
        <bgColor rgb="FF92D050"/>
      </patternFill>
    </fill>
    <fill>
      <patternFill patternType="solid">
        <fgColor rgb="FF00B050"/>
        <bgColor rgb="FF00B050"/>
      </patternFill>
    </fill>
    <fill>
      <patternFill patternType="solid">
        <fgColor rgb="FF00FFFF"/>
        <bgColor rgb="FF00FFFF"/>
      </patternFill>
    </fill>
    <fill>
      <patternFill patternType="solid">
        <fgColor rgb="FFFFFF00"/>
        <bgColor rgb="FFFFFF00"/>
      </patternFill>
    </fill>
    <fill>
      <patternFill patternType="solid">
        <fgColor rgb="FFFF0000"/>
        <bgColor rgb="FFFF0000"/>
      </patternFill>
    </fill>
    <fill>
      <patternFill patternType="solid">
        <fgColor rgb="FF002060"/>
        <bgColor rgb="FF002060"/>
      </patternFill>
    </fill>
    <fill>
      <patternFill patternType="solid">
        <fgColor theme="0"/>
        <bgColor theme="0"/>
      </patternFill>
    </fill>
    <fill>
      <patternFill patternType="solid">
        <fgColor rgb="FF000080"/>
        <bgColor rgb="FF000080"/>
      </patternFill>
    </fill>
    <fill>
      <patternFill patternType="solid">
        <fgColor rgb="FF808080"/>
        <bgColor rgb="FF808080"/>
      </patternFill>
    </fill>
    <fill>
      <patternFill patternType="solid">
        <fgColor rgb="FFFFFFFF"/>
        <bgColor rgb="FFFFFFFF"/>
      </patternFill>
    </fill>
    <fill>
      <patternFill patternType="solid">
        <fgColor rgb="FFBFBFBF"/>
        <bgColor rgb="FFBFBFBF"/>
      </patternFill>
    </fill>
    <fill>
      <patternFill patternType="solid">
        <fgColor rgb="FF7F7F7F"/>
        <bgColor rgb="FF7F7F7F"/>
      </patternFill>
    </fill>
    <fill>
      <patternFill patternType="solid">
        <fgColor rgb="FFFFC000"/>
        <bgColor rgb="FFFFC000"/>
      </patternFill>
    </fill>
    <fill>
      <patternFill patternType="solid">
        <fgColor rgb="FFD5A6BD"/>
        <bgColor rgb="FFD5A6BD"/>
      </patternFill>
    </fill>
    <fill>
      <patternFill patternType="solid">
        <fgColor rgb="FFC6D9F0"/>
        <bgColor rgb="FFC6D9F0"/>
      </patternFill>
    </fill>
    <fill>
      <patternFill patternType="solid">
        <fgColor rgb="FFC2D69B"/>
        <bgColor rgb="FFC2D69B"/>
      </patternFill>
    </fill>
    <fill>
      <patternFill patternType="solid">
        <fgColor rgb="FFCFE2F3"/>
        <bgColor rgb="FFCFE2F3"/>
      </patternFill>
    </fill>
  </fills>
  <borders count="3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bottom/>
    </border>
    <border>
      <top/>
      <bottom/>
    </border>
    <border>
      <right/>
      <top/>
      <bottom/>
    </border>
    <border>
      <left style="thin">
        <color rgb="FF000000"/>
      </left>
      <right style="thin">
        <color rgb="FF000000"/>
      </right>
      <top style="thin">
        <color rgb="FF000000"/>
      </top>
      <bottom style="thin">
        <color rgb="FF000000"/>
      </bottom>
    </border>
    <border>
      <left/>
      <right/>
      <top/>
      <bottom/>
    </border>
    <border>
      <left style="medium">
        <color rgb="FF000000"/>
      </left>
      <right style="medium">
        <color rgb="FF000000"/>
      </right>
      <top/>
      <bottom/>
    </border>
    <border>
      <left style="medium">
        <color rgb="FF000000"/>
      </left>
      <right/>
      <top/>
      <bottom/>
    </border>
    <border>
      <left style="medium">
        <color rgb="FF000000"/>
      </left>
      <top/>
      <bottom/>
    </border>
    <border>
      <right style="medium">
        <color rgb="FF000000"/>
      </right>
      <top/>
      <bottom/>
    </border>
    <border>
      <left/>
      <right style="medium">
        <color rgb="FF000000"/>
      </right>
      <top/>
      <bottom/>
    </border>
    <border>
      <left style="thin">
        <color rgb="FF000000"/>
      </left>
      <right style="thin">
        <color rgb="FF000000"/>
      </right>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right/>
      <top/>
    </border>
    <border>
      <left style="thin">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medium">
        <color rgb="FF000000"/>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style="thin">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top/>
      <bottom style="thin">
        <color rgb="FF000000"/>
      </bottom>
    </border>
    <border>
      <top/>
      <bottom style="thin">
        <color rgb="FF000000"/>
      </bottom>
    </border>
    <border>
      <right/>
      <top/>
      <bottom style="thin">
        <color rgb="FF000000"/>
      </bottom>
    </border>
  </borders>
  <cellStyleXfs count="1">
    <xf borderId="0" fillId="0" fontId="0" numFmtId="0" applyAlignment="1" applyFont="1"/>
  </cellStyleXfs>
  <cellXfs count="184">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0" fontId="2" numFmtId="0" xfId="0" applyBorder="1" applyFont="1"/>
    <xf borderId="3" fillId="0" fontId="2" numFmtId="0" xfId="0" applyBorder="1" applyFont="1"/>
    <xf borderId="4" fillId="3" fontId="3" numFmtId="0" xfId="0" applyAlignment="1" applyBorder="1" applyFill="1" applyFont="1">
      <alignment horizontal="center"/>
    </xf>
    <xf borderId="5" fillId="0" fontId="2" numFmtId="0" xfId="0" applyBorder="1" applyFont="1"/>
    <xf borderId="6" fillId="0" fontId="2" numFmtId="0" xfId="0" applyBorder="1" applyFont="1"/>
    <xf borderId="7" fillId="4" fontId="4" numFmtId="49" xfId="0" applyAlignment="1" applyBorder="1" applyFill="1" applyFont="1" applyNumberFormat="1">
      <alignment horizontal="center" shrinkToFit="0" vertical="center" wrapText="1"/>
    </xf>
    <xf borderId="8" fillId="4" fontId="4" numFmtId="49" xfId="0" applyAlignment="1" applyBorder="1" applyFont="1" applyNumberFormat="1">
      <alignment horizontal="center" shrinkToFit="0" vertical="center" wrapText="1"/>
    </xf>
    <xf borderId="9" fillId="4" fontId="4" numFmtId="49" xfId="0" applyAlignment="1" applyBorder="1" applyFont="1" applyNumberFormat="1">
      <alignment horizontal="center" shrinkToFit="0" vertical="center" wrapText="1"/>
    </xf>
    <xf borderId="10" fillId="4" fontId="4" numFmtId="49" xfId="0" applyAlignment="1" applyBorder="1" applyFont="1" applyNumberFormat="1">
      <alignment horizontal="center" shrinkToFit="0" vertical="center" wrapText="1"/>
    </xf>
    <xf borderId="11" fillId="4" fontId="4" numFmtId="49" xfId="0" applyAlignment="1" applyBorder="1" applyFont="1" applyNumberFormat="1">
      <alignment horizontal="center" shrinkToFit="0" vertical="center" wrapText="1"/>
    </xf>
    <xf borderId="12" fillId="0" fontId="2" numFmtId="0" xfId="0" applyBorder="1" applyFont="1"/>
    <xf borderId="13" fillId="4" fontId="4" numFmtId="49" xfId="0" applyAlignment="1" applyBorder="1" applyFont="1" applyNumberFormat="1">
      <alignment horizontal="center" shrinkToFit="0" vertical="center" wrapText="1"/>
    </xf>
    <xf borderId="9" fillId="5" fontId="4" numFmtId="49" xfId="0" applyAlignment="1" applyBorder="1" applyFill="1" applyFont="1" applyNumberFormat="1">
      <alignment horizontal="center" shrinkToFit="0" vertical="center" wrapText="1"/>
    </xf>
    <xf borderId="9" fillId="6" fontId="4" numFmtId="49" xfId="0" applyAlignment="1" applyBorder="1" applyFill="1" applyFont="1" applyNumberFormat="1">
      <alignment horizontal="center" shrinkToFit="0" vertical="center" wrapText="1"/>
    </xf>
    <xf borderId="9" fillId="7" fontId="4" numFmtId="49" xfId="0" applyAlignment="1" applyBorder="1" applyFill="1" applyFont="1" applyNumberFormat="1">
      <alignment horizontal="center" shrinkToFit="0" vertical="center" wrapText="1"/>
    </xf>
    <xf borderId="14" fillId="0" fontId="5" numFmtId="0" xfId="0" applyAlignment="1" applyBorder="1" applyFont="1">
      <alignment horizontal="center" shrinkToFit="0" vertical="center" wrapText="1"/>
    </xf>
    <xf borderId="7" fillId="0" fontId="6" numFmtId="0" xfId="0" applyAlignment="1" applyBorder="1" applyFont="1">
      <alignment shrinkToFit="0" wrapText="1"/>
    </xf>
    <xf borderId="7" fillId="0" fontId="6" numFmtId="0" xfId="0" applyAlignment="1" applyBorder="1" applyFont="1">
      <alignment readingOrder="0" shrinkToFit="0" wrapText="1"/>
    </xf>
    <xf borderId="7" fillId="0" fontId="7" numFmtId="0" xfId="0" applyBorder="1" applyFont="1"/>
    <xf borderId="1" fillId="0" fontId="7" numFmtId="0" xfId="0" applyBorder="1" applyFont="1"/>
    <xf borderId="7" fillId="0" fontId="7" numFmtId="9" xfId="0" applyAlignment="1" applyBorder="1" applyFont="1" applyNumberFormat="1">
      <alignment readingOrder="0"/>
    </xf>
    <xf borderId="7" fillId="0" fontId="8" numFmtId="0" xfId="0" applyAlignment="1" applyBorder="1" applyFont="1">
      <alignment readingOrder="0"/>
    </xf>
    <xf borderId="7" fillId="0" fontId="8" numFmtId="0" xfId="0" applyBorder="1" applyFont="1"/>
    <xf borderId="7" fillId="0" fontId="8" numFmtId="4" xfId="0" applyBorder="1" applyFont="1" applyNumberFormat="1"/>
    <xf borderId="7" fillId="0" fontId="8" numFmtId="9" xfId="0" applyAlignment="1" applyBorder="1" applyFont="1" applyNumberFormat="1">
      <alignment readingOrder="0"/>
    </xf>
    <xf borderId="7" fillId="0" fontId="8" numFmtId="2" xfId="0" applyBorder="1" applyFont="1" applyNumberFormat="1"/>
    <xf borderId="15" fillId="0" fontId="8" numFmtId="2" xfId="0" applyAlignment="1" applyBorder="1" applyFont="1" applyNumberFormat="1">
      <alignment horizontal="center"/>
    </xf>
    <xf borderId="14" fillId="0" fontId="2" numFmtId="0" xfId="0" applyBorder="1" applyFont="1"/>
    <xf borderId="7" fillId="0" fontId="7" numFmtId="0" xfId="0" applyAlignment="1" applyBorder="1" applyFont="1">
      <alignment readingOrder="0"/>
    </xf>
    <xf borderId="1" fillId="0" fontId="7" numFmtId="0" xfId="0" applyAlignment="1" applyBorder="1" applyFont="1">
      <alignment horizontal="left" readingOrder="0"/>
    </xf>
    <xf borderId="7" fillId="0" fontId="7" numFmtId="9" xfId="0" applyAlignment="1" applyBorder="1" applyFont="1" applyNumberFormat="1">
      <alignment horizontal="right" readingOrder="0"/>
    </xf>
    <xf borderId="1" fillId="0" fontId="7" numFmtId="0" xfId="0" applyAlignment="1" applyBorder="1" applyFont="1">
      <alignment readingOrder="0"/>
    </xf>
    <xf borderId="7" fillId="0" fontId="8" numFmtId="9" xfId="0" applyBorder="1" applyFont="1" applyNumberFormat="1"/>
    <xf borderId="3" fillId="0" fontId="7" numFmtId="0" xfId="0" applyAlignment="1" applyBorder="1" applyFont="1">
      <alignment readingOrder="0"/>
    </xf>
    <xf borderId="0" fillId="0" fontId="9" numFmtId="0" xfId="0" applyAlignment="1" applyFont="1">
      <alignment readingOrder="0"/>
    </xf>
    <xf borderId="1" fillId="0" fontId="6" numFmtId="0" xfId="0" applyAlignment="1" applyBorder="1" applyFont="1">
      <alignment readingOrder="0"/>
    </xf>
    <xf borderId="3" fillId="0" fontId="6" numFmtId="9" xfId="0" applyAlignment="1" applyBorder="1" applyFont="1" applyNumberFormat="1">
      <alignment readingOrder="0"/>
    </xf>
    <xf borderId="3" fillId="0" fontId="7" numFmtId="9" xfId="0" applyAlignment="1" applyBorder="1" applyFont="1" applyNumberFormat="1">
      <alignment readingOrder="0"/>
    </xf>
    <xf borderId="0" fillId="0" fontId="10" numFmtId="0" xfId="0" applyAlignment="1" applyFont="1">
      <alignment readingOrder="0"/>
    </xf>
    <xf borderId="1" fillId="0" fontId="11" numFmtId="0" xfId="0" applyAlignment="1" applyBorder="1" applyFont="1">
      <alignment readingOrder="0"/>
    </xf>
    <xf borderId="15" fillId="0" fontId="6" numFmtId="0" xfId="0" applyAlignment="1" applyBorder="1" applyFont="1">
      <alignment shrinkToFit="0" wrapText="1"/>
    </xf>
    <xf borderId="15" fillId="0" fontId="6" numFmtId="0" xfId="0" applyAlignment="1" applyBorder="1" applyFont="1">
      <alignment readingOrder="0" shrinkToFit="0" wrapText="1"/>
    </xf>
    <xf borderId="15" fillId="0" fontId="7" numFmtId="0" xfId="0" applyAlignment="1" applyBorder="1" applyFont="1">
      <alignment readingOrder="0"/>
    </xf>
    <xf borderId="16" fillId="0" fontId="7" numFmtId="0" xfId="0" applyAlignment="1" applyBorder="1" applyFont="1">
      <alignment readingOrder="0"/>
    </xf>
    <xf borderId="17" fillId="0" fontId="2" numFmtId="0" xfId="0" applyBorder="1" applyFont="1"/>
    <xf borderId="18" fillId="0" fontId="2" numFmtId="0" xfId="0" applyBorder="1" applyFont="1"/>
    <xf borderId="15" fillId="0" fontId="7" numFmtId="9" xfId="0" applyAlignment="1" applyBorder="1" applyFont="1" applyNumberFormat="1">
      <alignment readingOrder="0"/>
    </xf>
    <xf borderId="19" fillId="0" fontId="2" numFmtId="0" xfId="0" applyBorder="1" applyFont="1"/>
    <xf borderId="15" fillId="0" fontId="5" numFmtId="0" xfId="0" applyAlignment="1" applyBorder="1" applyFont="1">
      <alignment horizontal="center" shrinkToFit="0" vertical="center" wrapText="1"/>
    </xf>
    <xf borderId="7" fillId="0" fontId="7" numFmtId="9" xfId="0" applyBorder="1" applyFont="1" applyNumberFormat="1"/>
    <xf borderId="20" fillId="4" fontId="4" numFmtId="49" xfId="0" applyAlignment="1" applyBorder="1" applyFont="1" applyNumberFormat="1">
      <alignment horizontal="center" shrinkToFit="0" vertical="center" wrapText="1"/>
    </xf>
    <xf borderId="14" fillId="0" fontId="12" numFmtId="0" xfId="0" applyAlignment="1" applyBorder="1" applyFont="1">
      <alignment horizontal="center" readingOrder="0" shrinkToFit="0" vertical="center" wrapText="1"/>
    </xf>
    <xf borderId="15" fillId="0" fontId="13" numFmtId="0" xfId="0" applyAlignment="1" applyBorder="1" applyFont="1">
      <alignment readingOrder="0" shrinkToFit="0" wrapText="1"/>
    </xf>
    <xf borderId="7" fillId="0" fontId="14" numFmtId="0" xfId="0" applyAlignment="1" applyBorder="1" applyFont="1">
      <alignment readingOrder="0" shrinkToFit="0" wrapText="1"/>
    </xf>
    <xf borderId="15" fillId="0" fontId="8" numFmtId="4" xfId="0" applyAlignment="1" applyBorder="1" applyFont="1" applyNumberFormat="1">
      <alignment horizontal="center"/>
    </xf>
    <xf borderId="0" fillId="8" fontId="15" numFmtId="0" xfId="0" applyFill="1" applyFont="1"/>
    <xf borderId="7" fillId="0" fontId="14" numFmtId="0" xfId="0" applyAlignment="1" applyBorder="1" applyFont="1">
      <alignment shrinkToFit="0" wrapText="1"/>
    </xf>
    <xf borderId="7" fillId="0" fontId="7" numFmtId="0" xfId="0" applyAlignment="1" applyBorder="1" applyFont="1">
      <alignment horizontal="right" readingOrder="0"/>
    </xf>
    <xf borderId="15" fillId="0" fontId="14" numFmtId="0" xfId="0" applyAlignment="1" applyBorder="1" applyFont="1">
      <alignment readingOrder="0" shrinkToFit="0" wrapText="1"/>
    </xf>
    <xf borderId="7" fillId="0" fontId="6" numFmtId="0" xfId="0" applyAlignment="1" applyBorder="1" applyFont="1">
      <alignment readingOrder="0"/>
    </xf>
    <xf borderId="21" fillId="0" fontId="2" numFmtId="0" xfId="0" applyBorder="1" applyFont="1"/>
    <xf borderId="22" fillId="0" fontId="6" numFmtId="0" xfId="0" applyAlignment="1" applyBorder="1" applyFont="1">
      <alignment shrinkToFit="0" wrapText="1"/>
    </xf>
    <xf borderId="22" fillId="0" fontId="7" numFmtId="0" xfId="0" applyBorder="1" applyFont="1"/>
    <xf borderId="22" fillId="0" fontId="8" numFmtId="2" xfId="0" applyBorder="1" applyFont="1" applyNumberFormat="1"/>
    <xf borderId="14" fillId="0" fontId="7" numFmtId="0" xfId="0" applyAlignment="1" applyBorder="1" applyFont="1">
      <alignment readingOrder="0" shrinkToFit="0" wrapText="1"/>
    </xf>
    <xf borderId="19" fillId="0" fontId="14" numFmtId="0" xfId="0" applyAlignment="1" applyBorder="1" applyFont="1">
      <alignment shrinkToFit="0" wrapText="1"/>
    </xf>
    <xf borderId="19" fillId="0" fontId="7" numFmtId="0" xfId="0" applyBorder="1" applyFont="1"/>
    <xf borderId="19" fillId="0" fontId="8" numFmtId="2" xfId="0" applyBorder="1" applyFont="1" applyNumberFormat="1"/>
    <xf borderId="14" fillId="0" fontId="8" numFmtId="4" xfId="0" applyAlignment="1" applyBorder="1" applyFont="1" applyNumberFormat="1">
      <alignment horizontal="center"/>
    </xf>
    <xf borderId="0" fillId="9" fontId="15" numFmtId="0" xfId="0" applyFill="1" applyFont="1"/>
    <xf borderId="7" fillId="0" fontId="7" numFmtId="0" xfId="0" applyAlignment="1" applyBorder="1" applyFont="1">
      <alignment horizontal="right"/>
    </xf>
    <xf borderId="7" fillId="0" fontId="11" numFmtId="0" xfId="0" applyAlignment="1" applyBorder="1" applyFont="1">
      <alignment readingOrder="0" shrinkToFit="0" wrapText="1"/>
    </xf>
    <xf borderId="7" fillId="0" fontId="7" numFmtId="0" xfId="0" applyAlignment="1" applyBorder="1" applyFont="1">
      <alignment readingOrder="0" shrinkToFit="0" wrapText="1"/>
    </xf>
    <xf borderId="7" fillId="0" fontId="6" numFmtId="0" xfId="0" applyBorder="1" applyFont="1"/>
    <xf borderId="7" fillId="0" fontId="15" numFmtId="0" xfId="0" applyBorder="1" applyFont="1"/>
    <xf borderId="0" fillId="0" fontId="15" numFmtId="0" xfId="0" applyAlignment="1" applyFont="1">
      <alignment readingOrder="0"/>
    </xf>
    <xf borderId="15" fillId="0" fontId="7" numFmtId="0" xfId="0" applyBorder="1" applyFont="1"/>
    <xf borderId="19" fillId="0" fontId="15" numFmtId="0" xfId="0" applyAlignment="1" applyBorder="1" applyFont="1">
      <alignment readingOrder="0" shrinkToFit="0" wrapText="1"/>
    </xf>
    <xf borderId="7" fillId="0" fontId="7" numFmtId="0" xfId="0" applyAlignment="1" applyBorder="1" applyFont="1">
      <alignment shrinkToFit="0" wrapText="1"/>
    </xf>
    <xf borderId="7" fillId="0" fontId="8" numFmtId="2" xfId="0" applyAlignment="1" applyBorder="1" applyFont="1" applyNumberFormat="1">
      <alignment shrinkToFit="0" wrapText="1"/>
    </xf>
    <xf borderId="19" fillId="0" fontId="15" numFmtId="0" xfId="0" applyAlignment="1" applyBorder="1" applyFont="1">
      <alignment readingOrder="0"/>
    </xf>
    <xf borderId="21" fillId="0" fontId="15" numFmtId="0" xfId="0" applyAlignment="1" applyBorder="1" applyFont="1">
      <alignment readingOrder="0"/>
    </xf>
    <xf borderId="19" fillId="0" fontId="6" numFmtId="0" xfId="0" applyAlignment="1" applyBorder="1" applyFont="1">
      <alignment shrinkToFit="0" wrapText="1"/>
    </xf>
    <xf borderId="0" fillId="10" fontId="15" numFmtId="0" xfId="0" applyFill="1" applyFont="1"/>
    <xf borderId="19" fillId="0" fontId="14" numFmtId="0" xfId="0" applyAlignment="1" applyBorder="1" applyFont="1">
      <alignment readingOrder="0" shrinkToFit="0" wrapText="1"/>
    </xf>
    <xf borderId="22" fillId="0" fontId="15" numFmtId="0" xfId="0" applyBorder="1" applyFont="1"/>
    <xf borderId="19" fillId="0" fontId="15" numFmtId="0" xfId="0" applyBorder="1" applyFont="1"/>
    <xf borderId="14" fillId="0" fontId="8" numFmtId="2" xfId="0" applyAlignment="1" applyBorder="1" applyFont="1" applyNumberFormat="1">
      <alignment horizontal="center"/>
    </xf>
    <xf borderId="7" fillId="11" fontId="16" numFmtId="0" xfId="0" applyBorder="1" applyFill="1" applyFont="1"/>
    <xf borderId="7" fillId="12" fontId="17" numFmtId="9" xfId="0" applyBorder="1" applyFill="1" applyFont="1" applyNumberFormat="1"/>
    <xf borderId="8" fillId="12" fontId="17" numFmtId="164" xfId="0" applyBorder="1" applyFont="1" applyNumberFormat="1"/>
    <xf borderId="8" fillId="12" fontId="8" numFmtId="0" xfId="0" applyBorder="1" applyFont="1"/>
    <xf borderId="7" fillId="12" fontId="8" numFmtId="0" xfId="0" applyAlignment="1" applyBorder="1" applyFont="1">
      <alignment readingOrder="0"/>
    </xf>
    <xf borderId="7" fillId="12" fontId="17" numFmtId="9" xfId="0" applyAlignment="1" applyBorder="1" applyFont="1" applyNumberFormat="1">
      <alignment readingOrder="0"/>
    </xf>
    <xf borderId="8" fillId="12" fontId="8" numFmtId="0" xfId="0" applyAlignment="1" applyBorder="1" applyFont="1">
      <alignment readingOrder="0"/>
    </xf>
    <xf borderId="23" fillId="13" fontId="18" numFmtId="0" xfId="0" applyAlignment="1" applyBorder="1" applyFill="1" applyFont="1">
      <alignment horizontal="center" vertical="center"/>
    </xf>
    <xf borderId="24" fillId="0" fontId="2" numFmtId="0" xfId="0" applyBorder="1" applyFont="1"/>
    <xf borderId="25" fillId="0" fontId="2" numFmtId="0" xfId="0" applyBorder="1" applyFont="1"/>
    <xf borderId="26" fillId="13" fontId="18" numFmtId="0" xfId="0" applyAlignment="1" applyBorder="1" applyFont="1">
      <alignment horizontal="center" vertical="center"/>
    </xf>
    <xf borderId="27" fillId="0" fontId="2" numFmtId="0" xfId="0" applyBorder="1" applyFont="1"/>
    <xf borderId="28" fillId="0" fontId="2" numFmtId="0" xfId="0" applyBorder="1" applyFont="1"/>
    <xf borderId="29" fillId="14" fontId="18" numFmtId="0" xfId="0" applyAlignment="1" applyBorder="1" applyFill="1" applyFont="1">
      <alignment horizontal="center" shrinkToFit="0" vertical="center" wrapText="1"/>
    </xf>
    <xf borderId="30" fillId="14" fontId="18" numFmtId="0" xfId="0" applyAlignment="1" applyBorder="1" applyFont="1">
      <alignment horizontal="center" shrinkToFit="0" vertical="center" wrapText="1"/>
    </xf>
    <xf borderId="31" fillId="14" fontId="18" numFmtId="0" xfId="0" applyAlignment="1" applyBorder="1" applyFont="1">
      <alignment horizontal="center" shrinkToFit="0" vertical="center" wrapText="1"/>
    </xf>
    <xf borderId="32" fillId="14" fontId="18" numFmtId="0" xfId="0" applyAlignment="1" applyBorder="1" applyFont="1">
      <alignment horizontal="center" shrinkToFit="0" vertical="center" wrapText="1"/>
    </xf>
    <xf borderId="33" fillId="12" fontId="17" numFmtId="0" xfId="0" applyBorder="1" applyFont="1"/>
    <xf borderId="7" fillId="12" fontId="17" numFmtId="165" xfId="0" applyAlignment="1" applyBorder="1" applyFont="1" applyNumberFormat="1">
      <alignment horizontal="center" readingOrder="0"/>
    </xf>
    <xf borderId="7" fillId="12" fontId="8" numFmtId="164" xfId="0" applyAlignment="1" applyBorder="1" applyFont="1" applyNumberFormat="1">
      <alignment readingOrder="0"/>
    </xf>
    <xf borderId="7" fillId="12" fontId="17" numFmtId="164" xfId="0" applyAlignment="1" applyBorder="1" applyFont="1" applyNumberFormat="1">
      <alignment readingOrder="0"/>
    </xf>
    <xf borderId="7" fillId="0" fontId="17" numFmtId="165" xfId="0" applyAlignment="1" applyBorder="1" applyFont="1" applyNumberFormat="1">
      <alignment readingOrder="0"/>
    </xf>
    <xf borderId="7" fillId="0" fontId="17" numFmtId="165" xfId="0" applyBorder="1" applyFont="1" applyNumberFormat="1"/>
    <xf borderId="1" fillId="0" fontId="17" numFmtId="165" xfId="0" applyBorder="1" applyFont="1" applyNumberFormat="1"/>
    <xf borderId="34" fillId="0" fontId="17" numFmtId="165" xfId="0" applyBorder="1" applyFont="1" applyNumberFormat="1"/>
    <xf borderId="7" fillId="12" fontId="17" numFmtId="165" xfId="0" applyAlignment="1" applyBorder="1" applyFont="1" applyNumberFormat="1">
      <alignment horizontal="center"/>
    </xf>
    <xf borderId="33" fillId="9" fontId="17" numFmtId="0" xfId="0" applyBorder="1" applyFont="1"/>
    <xf borderId="7" fillId="12" fontId="17" numFmtId="165" xfId="0" applyAlignment="1" applyBorder="1" applyFont="1" applyNumberFormat="1">
      <alignment horizontal="left" readingOrder="0"/>
    </xf>
    <xf borderId="7" fillId="12" fontId="17" numFmtId="164" xfId="0" applyBorder="1" applyFont="1" applyNumberFormat="1"/>
    <xf borderId="7" fillId="12" fontId="8" numFmtId="164" xfId="0" applyBorder="1" applyFont="1" applyNumberFormat="1"/>
    <xf borderId="33" fillId="0" fontId="19" numFmtId="0" xfId="0" applyAlignment="1" applyBorder="1" applyFont="1">
      <alignment shrinkToFit="0" wrapText="1"/>
    </xf>
    <xf borderId="7" fillId="15" fontId="17" numFmtId="165" xfId="0" applyAlignment="1" applyBorder="1" applyFill="1" applyFont="1" applyNumberFormat="1">
      <alignment horizontal="center"/>
    </xf>
    <xf borderId="7" fillId="12" fontId="17" numFmtId="165" xfId="0" applyBorder="1" applyFont="1" applyNumberFormat="1"/>
    <xf borderId="7" fillId="0" fontId="17" numFmtId="165" xfId="0" applyAlignment="1" applyBorder="1" applyFont="1" applyNumberFormat="1">
      <alignment horizontal="center"/>
    </xf>
    <xf borderId="33" fillId="0" fontId="17" numFmtId="0" xfId="0" applyAlignment="1" applyBorder="1" applyFont="1">
      <alignment shrinkToFit="0" wrapText="1"/>
    </xf>
    <xf borderId="7" fillId="0" fontId="17" numFmtId="0" xfId="0" applyAlignment="1" applyBorder="1" applyFont="1">
      <alignment shrinkToFit="0" wrapText="1"/>
    </xf>
    <xf borderId="7" fillId="0" fontId="17" numFmtId="166" xfId="0" applyAlignment="1" applyBorder="1" applyFont="1" applyNumberFormat="1">
      <alignment horizontal="center"/>
    </xf>
    <xf borderId="7" fillId="0" fontId="17" numFmtId="0" xfId="0" applyBorder="1" applyFont="1"/>
    <xf borderId="7" fillId="0" fontId="17" numFmtId="0" xfId="0" applyAlignment="1" applyBorder="1" applyFont="1">
      <alignment horizontal="left"/>
    </xf>
    <xf borderId="7" fillId="0" fontId="20" numFmtId="0" xfId="0" applyAlignment="1" applyBorder="1" applyFont="1">
      <alignment horizontal="left"/>
    </xf>
    <xf borderId="7" fillId="0" fontId="20" numFmtId="0" xfId="0" applyAlignment="1" applyBorder="1" applyFont="1">
      <alignment horizontal="right"/>
    </xf>
    <xf borderId="7" fillId="0" fontId="20" numFmtId="165" xfId="0" applyBorder="1" applyFont="1" applyNumberFormat="1"/>
    <xf borderId="7" fillId="12" fontId="21" numFmtId="0" xfId="0" applyBorder="1" applyFont="1"/>
    <xf borderId="7" fillId="12" fontId="8" numFmtId="0" xfId="0" applyBorder="1" applyFont="1"/>
    <xf borderId="35" fillId="13" fontId="18" numFmtId="0" xfId="0" applyAlignment="1" applyBorder="1" applyFont="1">
      <alignment horizontal="center" vertical="center"/>
    </xf>
    <xf borderId="36" fillId="0" fontId="2" numFmtId="0" xfId="0" applyBorder="1" applyFont="1"/>
    <xf borderId="37" fillId="0" fontId="2" numFmtId="0" xfId="0" applyBorder="1" applyFont="1"/>
    <xf borderId="33" fillId="14" fontId="18" numFmtId="0" xfId="0" applyAlignment="1" applyBorder="1" applyFont="1">
      <alignment horizontal="center" shrinkToFit="0" vertical="center" wrapText="1"/>
    </xf>
    <xf borderId="7" fillId="14" fontId="18" numFmtId="0" xfId="0" applyAlignment="1" applyBorder="1" applyFont="1">
      <alignment horizontal="center" shrinkToFit="0" vertical="center" wrapText="1"/>
    </xf>
    <xf borderId="7" fillId="14" fontId="18" numFmtId="0" xfId="0" applyAlignment="1" applyBorder="1" applyFont="1">
      <alignment horizontal="center" vertical="center"/>
    </xf>
    <xf borderId="33" fillId="0" fontId="17" numFmtId="0" xfId="0" applyAlignment="1" applyBorder="1" applyFont="1">
      <alignment horizontal="left" readingOrder="0" shrinkToFit="0" wrapText="1"/>
    </xf>
    <xf borderId="7" fillId="0" fontId="17" numFmtId="3" xfId="0" applyAlignment="1" applyBorder="1" applyFont="1" applyNumberFormat="1">
      <alignment readingOrder="0"/>
    </xf>
    <xf borderId="7" fillId="0" fontId="17" numFmtId="3" xfId="0" applyAlignment="1" applyBorder="1" applyFont="1" applyNumberFormat="1">
      <alignment vertical="center"/>
    </xf>
    <xf borderId="0" fillId="12" fontId="15" numFmtId="0" xfId="0" applyFont="1"/>
    <xf borderId="33" fillId="0" fontId="17" numFmtId="0" xfId="0" applyAlignment="1" applyBorder="1" applyFont="1">
      <alignment readingOrder="0" shrinkToFit="0" wrapText="1"/>
    </xf>
    <xf borderId="7" fillId="0" fontId="17" numFmtId="167" xfId="0" applyAlignment="1" applyBorder="1" applyFont="1" applyNumberFormat="1">
      <alignment readingOrder="0"/>
    </xf>
    <xf borderId="33" fillId="0" fontId="17" numFmtId="0" xfId="0" applyAlignment="1" applyBorder="1" applyFont="1">
      <alignment horizontal="left" shrinkToFit="0" wrapText="1"/>
    </xf>
    <xf borderId="7" fillId="0" fontId="17" numFmtId="3" xfId="0" applyBorder="1" applyFont="1" applyNumberFormat="1"/>
    <xf borderId="7" fillId="0" fontId="17" numFmtId="167" xfId="0" applyBorder="1" applyFont="1" applyNumberFormat="1"/>
    <xf borderId="33" fillId="16" fontId="17" numFmtId="0" xfId="0" applyAlignment="1" applyBorder="1" applyFill="1" applyFont="1">
      <alignment horizontal="left" shrinkToFit="0" wrapText="1"/>
    </xf>
    <xf borderId="7" fillId="16" fontId="17" numFmtId="3" xfId="0" applyBorder="1" applyFont="1" applyNumberFormat="1"/>
    <xf borderId="7" fillId="16" fontId="20" numFmtId="3" xfId="0" applyAlignment="1" applyBorder="1" applyFont="1" applyNumberFormat="1">
      <alignment horizontal="right"/>
    </xf>
    <xf borderId="7" fillId="16" fontId="8" numFmtId="3" xfId="0" applyBorder="1" applyFont="1" applyNumberFormat="1"/>
    <xf borderId="7" fillId="17" fontId="22" numFmtId="0" xfId="0" applyAlignment="1" applyBorder="1" applyFill="1" applyFont="1">
      <alignment horizontal="center"/>
    </xf>
    <xf borderId="7" fillId="17" fontId="22" numFmtId="0" xfId="0" applyBorder="1" applyFont="1"/>
    <xf borderId="7" fillId="9" fontId="23" numFmtId="0" xfId="0" applyBorder="1" applyFont="1"/>
    <xf borderId="7" fillId="9" fontId="23" numFmtId="165" xfId="0" applyBorder="1" applyFont="1" applyNumberFormat="1"/>
    <xf borderId="7" fillId="9" fontId="23" numFmtId="3" xfId="0" applyBorder="1" applyFont="1" applyNumberFormat="1"/>
    <xf borderId="7" fillId="18" fontId="23" numFmtId="0" xfId="0" applyBorder="1" applyFill="1" applyFont="1"/>
    <xf borderId="7" fillId="6" fontId="23" numFmtId="0" xfId="0" applyBorder="1" applyFont="1"/>
    <xf borderId="7" fillId="6" fontId="23" numFmtId="165" xfId="0" applyBorder="1" applyFont="1" applyNumberFormat="1"/>
    <xf borderId="7" fillId="19" fontId="24" numFmtId="0" xfId="0" applyBorder="1" applyFill="1" applyFont="1"/>
    <xf borderId="7" fillId="19" fontId="24" numFmtId="165" xfId="0" applyBorder="1" applyFont="1" applyNumberFormat="1"/>
    <xf borderId="7" fillId="20" fontId="24" numFmtId="0" xfId="0" applyBorder="1" applyFill="1" applyFont="1"/>
    <xf borderId="7" fillId="20" fontId="24" numFmtId="165" xfId="0" applyBorder="1" applyFont="1" applyNumberFormat="1"/>
    <xf borderId="0" fillId="0" fontId="8" numFmtId="0" xfId="0" applyAlignment="1" applyFont="1">
      <alignment vertical="bottom"/>
    </xf>
    <xf borderId="0" fillId="0" fontId="21" numFmtId="0" xfId="0" applyFont="1"/>
    <xf borderId="0" fillId="0" fontId="8" numFmtId="0" xfId="0" applyFont="1"/>
    <xf borderId="0" fillId="0" fontId="8" numFmtId="0" xfId="0" applyAlignment="1" applyFont="1">
      <alignment readingOrder="0"/>
    </xf>
    <xf borderId="0" fillId="0" fontId="21" numFmtId="0" xfId="0" applyAlignment="1" applyFont="1">
      <alignment horizontal="center" readingOrder="0" shrinkToFit="0" vertical="center" wrapText="0"/>
    </xf>
    <xf borderId="0" fillId="0" fontId="21" numFmtId="0" xfId="0" applyAlignment="1" applyFont="1">
      <alignment horizontal="center" readingOrder="0" shrinkToFit="0" vertical="center" wrapText="0"/>
    </xf>
    <xf borderId="0" fillId="0" fontId="15" numFmtId="0" xfId="0" applyFont="1"/>
    <xf borderId="7" fillId="0" fontId="21" numFmtId="0" xfId="0" applyAlignment="1" applyBorder="1" applyFont="1">
      <alignment shrinkToFit="0" vertical="center" wrapText="0"/>
    </xf>
    <xf borderId="7" fillId="0" fontId="8" numFmtId="0" xfId="0" applyAlignment="1" applyBorder="1" applyFont="1">
      <alignment shrinkToFit="0" vertical="center" wrapText="0"/>
    </xf>
    <xf borderId="7" fillId="0" fontId="8" numFmtId="4" xfId="0" applyAlignment="1" applyBorder="1" applyFont="1" applyNumberFormat="1">
      <alignment readingOrder="0" shrinkToFit="0" vertical="center" wrapText="0"/>
    </xf>
    <xf borderId="7" fillId="0" fontId="8" numFmtId="168" xfId="0" applyAlignment="1" applyBorder="1" applyFont="1" applyNumberFormat="1">
      <alignment shrinkToFit="0" vertical="center" wrapText="0"/>
    </xf>
    <xf borderId="7" fillId="0" fontId="8" numFmtId="4" xfId="0" applyAlignment="1" applyBorder="1" applyFont="1" applyNumberFormat="1">
      <alignment shrinkToFit="0" vertical="center" wrapText="0"/>
    </xf>
    <xf borderId="7" fillId="0" fontId="21" numFmtId="49" xfId="0" applyAlignment="1" applyBorder="1" applyFont="1" applyNumberFormat="1">
      <alignment shrinkToFit="0" vertical="center" wrapText="0"/>
    </xf>
    <xf borderId="7" fillId="0" fontId="8" numFmtId="10" xfId="0" applyAlignment="1" applyBorder="1" applyFont="1" applyNumberFormat="1">
      <alignment shrinkToFit="0" vertical="center" wrapText="0"/>
    </xf>
    <xf borderId="7" fillId="21" fontId="8" numFmtId="4" xfId="0" applyAlignment="1" applyBorder="1" applyFill="1" applyFont="1" applyNumberFormat="1">
      <alignment shrinkToFit="0" vertical="center" wrapText="0"/>
    </xf>
    <xf borderId="0" fillId="0" fontId="8" numFmtId="4" xfId="0" applyFont="1" applyNumberFormat="1"/>
    <xf borderId="7" fillId="22" fontId="21" numFmtId="0" xfId="0" applyAlignment="1" applyBorder="1" applyFill="1" applyFont="1">
      <alignment readingOrder="0"/>
    </xf>
    <xf borderId="7" fillId="0" fontId="8" numFmtId="4" xfId="0" applyAlignment="1" applyBorder="1" applyFont="1" applyNumberFormat="1">
      <alignment readingOrder="0"/>
    </xf>
    <xf borderId="7" fillId="22" fontId="21" numFmtId="0" xfId="0" applyBorder="1" applyFont="1"/>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CDD9D4"/>
          <bgColor rgb="FFCDD9D4"/>
        </patternFill>
      </fill>
      <border/>
    </dxf>
  </dxfs>
  <tableStyles count="6">
    <tableStyle count="4" pivot="0" name="costo por recurso o punto de H-style">
      <tableStyleElement dxfId="1" type="headerRow"/>
      <tableStyleElement dxfId="2" type="firstRowStripe"/>
      <tableStyleElement dxfId="3" type="secondRowStripe"/>
      <tableStyleElement dxfId="4" size="0" type="wholeTable"/>
    </tableStyle>
    <tableStyle count="4" pivot="0" name="costo por recurso o punto de H-style 2">
      <tableStyleElement dxfId="1" type="headerRow"/>
      <tableStyleElement dxfId="2" type="firstRowStripe"/>
      <tableStyleElement dxfId="3" type="secondRowStripe"/>
      <tableStyleElement dxfId="4" size="0" type="wholeTable"/>
    </tableStyle>
    <tableStyle count="5" pivot="0" name="costo por recurso o punto de H-style 3">
      <tableStyleElement dxfId="1" type="headerRow"/>
      <tableStyleElement dxfId="2" type="firstRowStripe"/>
      <tableStyleElement dxfId="3" type="secondRowStripe"/>
      <tableStyleElement dxfId="5" type="totalRow"/>
      <tableStyleElement dxfId="4" size="0" type="wholeTable"/>
    </tableStyle>
    <tableStyle count="5" pivot="0" name="costo por recurso o punto de H-style 4">
      <tableStyleElement dxfId="1" type="headerRow"/>
      <tableStyleElement dxfId="2" type="firstRowStripe"/>
      <tableStyleElement dxfId="3" type="secondRowStripe"/>
      <tableStyleElement dxfId="5" type="totalRow"/>
      <tableStyleElement dxfId="4" size="0" type="wholeTable"/>
    </tableStyle>
    <tableStyle count="5" pivot="0" name="costo por recurso o punto de H-style 5">
      <tableStyleElement dxfId="1" type="headerRow"/>
      <tableStyleElement dxfId="2" type="firstRowStripe"/>
      <tableStyleElement dxfId="3" type="secondRowStripe"/>
      <tableStyleElement dxfId="5" type="totalRow"/>
      <tableStyleElement dxfId="4" size="0" type="wholeTable"/>
    </tableStyle>
    <tableStyle count="5" pivot="0" name="costo por recurso o punto de H-style 6">
      <tableStyleElement dxfId="1" type="headerRow"/>
      <tableStyleElement dxfId="2" type="firstRowStripe"/>
      <tableStyleElement dxfId="3" type="secondRowStripe"/>
      <tableStyleElement dxfId="5" type="totalRow"/>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6:C28" displayName="Tabla_7" name="Tabla_7" id="1">
  <tableColumns count="3">
    <tableColumn name="Desarrollador junior" id="1"/>
    <tableColumn name="%" id="2"/>
    <tableColumn name="Monto" id="3"/>
  </tableColumns>
  <tableStyleInfo name="costo por recurso o punto de H-style" showColumnStripes="0" showFirstColumn="1" showLastColumn="1" showRowStripes="1"/>
</table>
</file>

<file path=xl/tables/table2.xml><?xml version="1.0" encoding="utf-8"?>
<table xmlns="http://schemas.openxmlformats.org/spreadsheetml/2006/main" ref="E6:G28" displayName="Tabla_1" name="Tabla_1" id="2">
  <tableColumns count="3">
    <tableColumn name="Desarrollador junior" id="1"/>
    <tableColumn name="%" id="2"/>
    <tableColumn name="Monto" id="3"/>
  </tableColumns>
  <tableStyleInfo name="costo por recurso o punto de H-style 2" showColumnStripes="0" showFirstColumn="1" showLastColumn="1" showRowStripes="1"/>
</table>
</file>

<file path=xl/tables/table3.xml><?xml version="1.0" encoding="utf-8"?>
<table xmlns="http://schemas.openxmlformats.org/spreadsheetml/2006/main" totalsRowCount="1" ref="I6:K28" displayName="Tabla_2" name="Tabla_2" id="3">
  <tableColumns count="3">
    <tableColumn totalsRowLabel="Total Hora" name="Arquitecto" id="1"/>
    <tableColumn name="%" id="2"/>
    <tableColumn totalsRowFunction="custom" name="Monto" id="3"/>
  </tableColumns>
  <tableStyleInfo name="costo por recurso o punto de H-style 3" showColumnStripes="0" showFirstColumn="1" showLastColumn="1" showRowStripes="1"/>
</table>
</file>

<file path=xl/tables/table4.xml><?xml version="1.0" encoding="utf-8"?>
<table xmlns="http://schemas.openxmlformats.org/spreadsheetml/2006/main" totalsRowCount="1" ref="M6:O28" displayName="Tabla_3" name="Tabla_3" id="4">
  <tableColumns count="3">
    <tableColumn totalsRowLabel="Total Hora" name="Gerente de proyectos" id="1"/>
    <tableColumn name="%" id="2"/>
    <tableColumn totalsRowFunction="custom" name="Monto" id="3"/>
  </tableColumns>
  <tableStyleInfo name="costo por recurso o punto de H-style 4" showColumnStripes="0" showFirstColumn="1" showLastColumn="1" showRowStripes="1"/>
</table>
</file>

<file path=xl/tables/table5.xml><?xml version="1.0" encoding="utf-8"?>
<table xmlns="http://schemas.openxmlformats.org/spreadsheetml/2006/main" totalsRowCount="1" ref="U6:W28" displayName="Tabla_5" name="Tabla_5" id="5">
  <tableColumns count="3">
    <tableColumn totalsRowLabel="Total Hora" name="QA" id="1"/>
    <tableColumn name="%" id="2"/>
    <tableColumn totalsRowFunction="custom" name="Monto" id="3"/>
  </tableColumns>
  <tableStyleInfo name="costo por recurso o punto de H-style 5" showColumnStripes="0" showFirstColumn="1" showLastColumn="1" showRowStripes="1"/>
</table>
</file>

<file path=xl/tables/table6.xml><?xml version="1.0" encoding="utf-8"?>
<table xmlns="http://schemas.openxmlformats.org/spreadsheetml/2006/main" totalsRowCount="1" ref="Y6:AA28" displayName="Tabla_6" name="Tabla_6" id="6">
  <tableColumns count="3">
    <tableColumn totalsRowLabel="Total Hora" name="Product Owner" id="1"/>
    <tableColumn name="%" id="2"/>
    <tableColumn totalsRowFunction="custom" name="Monto" id="3"/>
  </tableColumns>
  <tableStyleInfo name="costo por recurso o punto de H-style 6"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4.xml"/><Relationship Id="rId10" Type="http://schemas.openxmlformats.org/officeDocument/2006/relationships/table" Target="../tables/table3.xml"/><Relationship Id="rId13" Type="http://schemas.openxmlformats.org/officeDocument/2006/relationships/table" Target="../tables/table6.xml"/><Relationship Id="rId12" Type="http://schemas.openxmlformats.org/officeDocument/2006/relationships/table" Target="../tables/table5.xml"/><Relationship Id="rId9" Type="http://schemas.openxmlformats.org/officeDocument/2006/relationships/table" Target="../tables/table2.xml"/><Relationship Id="rId8"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5.43"/>
    <col customWidth="1" min="3" max="3" width="25.43"/>
    <col customWidth="1" min="4" max="4" width="9.0"/>
    <col customWidth="1" min="5" max="6" width="0.43"/>
    <col customWidth="1" min="7" max="7" width="18.86"/>
    <col customWidth="1" min="8" max="8" width="14.29"/>
    <col customWidth="1" min="9" max="9" width="5.86"/>
    <col customWidth="1" min="10" max="10" width="9.43"/>
    <col customWidth="1" min="11" max="11" width="6.14"/>
    <col customWidth="1" min="12" max="12" width="11.29"/>
    <col customWidth="1" min="13" max="13" width="8.71"/>
    <col customWidth="1" min="14" max="14" width="12.86"/>
    <col customWidth="1" min="15" max="16" width="12.43"/>
    <col customWidth="1" min="17" max="17" width="10.71"/>
    <col customWidth="1" min="18" max="18" width="12.0"/>
    <col customWidth="1" min="19" max="19" width="15.86"/>
    <col customWidth="1" min="20" max="22" width="10.71"/>
  </cols>
  <sheetData>
    <row r="1" ht="28.5" customHeight="1">
      <c r="A1" s="1" t="s">
        <v>0</v>
      </c>
      <c r="B1" s="2"/>
      <c r="C1" s="2"/>
      <c r="D1" s="2"/>
      <c r="E1" s="2"/>
      <c r="F1" s="2"/>
      <c r="G1" s="2"/>
      <c r="H1" s="2"/>
      <c r="I1" s="2"/>
      <c r="J1" s="2"/>
      <c r="K1" s="2"/>
      <c r="L1" s="2"/>
      <c r="M1" s="2"/>
      <c r="N1" s="2"/>
      <c r="O1" s="2"/>
      <c r="P1" s="3"/>
      <c r="Q1" s="4" t="s">
        <v>1</v>
      </c>
      <c r="R1" s="5"/>
      <c r="S1" s="6"/>
    </row>
    <row r="2" ht="75.75" customHeight="1">
      <c r="A2" s="7" t="s">
        <v>2</v>
      </c>
      <c r="B2" s="8" t="s">
        <v>3</v>
      </c>
      <c r="C2" s="9" t="s">
        <v>4</v>
      </c>
      <c r="D2" s="10" t="s">
        <v>5</v>
      </c>
      <c r="E2" s="11" t="s">
        <v>6</v>
      </c>
      <c r="F2" s="5"/>
      <c r="G2" s="12"/>
      <c r="H2" s="13" t="s">
        <v>7</v>
      </c>
      <c r="I2" s="9" t="s">
        <v>8</v>
      </c>
      <c r="J2" s="9" t="s">
        <v>9</v>
      </c>
      <c r="K2" s="9" t="s">
        <v>10</v>
      </c>
      <c r="L2" s="9" t="s">
        <v>11</v>
      </c>
      <c r="M2" s="9" t="s">
        <v>12</v>
      </c>
      <c r="N2" s="9" t="s">
        <v>13</v>
      </c>
      <c r="O2" s="14" t="s">
        <v>14</v>
      </c>
      <c r="P2" s="9" t="s">
        <v>15</v>
      </c>
      <c r="Q2" s="15" t="s">
        <v>16</v>
      </c>
      <c r="R2" s="15" t="s">
        <v>17</v>
      </c>
      <c r="S2" s="16" t="s">
        <v>18</v>
      </c>
    </row>
    <row r="3">
      <c r="A3" s="17" t="s">
        <v>19</v>
      </c>
      <c r="B3" s="18"/>
      <c r="C3" s="19" t="s">
        <v>20</v>
      </c>
      <c r="D3" s="20" t="s">
        <v>21</v>
      </c>
      <c r="E3" s="21" t="s">
        <v>22</v>
      </c>
      <c r="F3" s="2"/>
      <c r="G3" s="3"/>
      <c r="H3" s="22">
        <v>0.03</v>
      </c>
      <c r="I3" s="23">
        <v>4.0</v>
      </c>
      <c r="J3" s="23">
        <v>3.0</v>
      </c>
      <c r="K3" s="23">
        <v>1.0</v>
      </c>
      <c r="L3" s="24">
        <f t="shared" ref="L3:L28" si="1">(I3+4*J3+K3)/6</f>
        <v>2.833333333</v>
      </c>
      <c r="M3" s="25">
        <f t="shared" ref="M3:M28" si="2">(I3-K3)/6</f>
        <v>0.5</v>
      </c>
      <c r="N3" s="25">
        <f t="shared" ref="N3:N28" si="3">(L3+M3)*8</f>
        <v>26.66666667</v>
      </c>
      <c r="O3" s="26">
        <v>0.15</v>
      </c>
      <c r="P3" s="25">
        <f t="shared" ref="P3:P28" si="4">N3*O3</f>
        <v>4</v>
      </c>
      <c r="Q3" s="27">
        <f>Presupuesto!G10</f>
        <v>25000</v>
      </c>
      <c r="R3" s="27">
        <f t="shared" ref="R3:R28" si="5">Q3*P3</f>
        <v>100000</v>
      </c>
      <c r="S3" s="28">
        <f>SUM(R3:R16)</f>
        <v>260000</v>
      </c>
    </row>
    <row r="4">
      <c r="A4" s="29"/>
      <c r="B4" s="18"/>
      <c r="C4" s="18" t="s">
        <v>23</v>
      </c>
      <c r="D4" s="20" t="s">
        <v>21</v>
      </c>
      <c r="E4" s="21" t="s">
        <v>24</v>
      </c>
      <c r="F4" s="2"/>
      <c r="G4" s="3"/>
      <c r="H4" s="22">
        <v>0.1</v>
      </c>
      <c r="I4" s="23">
        <v>5.0</v>
      </c>
      <c r="J4" s="23">
        <v>5.0</v>
      </c>
      <c r="K4" s="23">
        <v>3.0</v>
      </c>
      <c r="L4" s="24">
        <f t="shared" si="1"/>
        <v>4.666666667</v>
      </c>
      <c r="M4" s="25">
        <f t="shared" si="2"/>
        <v>0.3333333333</v>
      </c>
      <c r="N4" s="25">
        <f t="shared" si="3"/>
        <v>40</v>
      </c>
      <c r="O4" s="26">
        <v>0.16</v>
      </c>
      <c r="P4" s="25">
        <f t="shared" si="4"/>
        <v>6.4</v>
      </c>
      <c r="Q4" s="27">
        <f>Presupuesto!G14</f>
        <v>25000</v>
      </c>
      <c r="R4" s="27">
        <f t="shared" si="5"/>
        <v>160000</v>
      </c>
      <c r="S4" s="29"/>
    </row>
    <row r="5">
      <c r="A5" s="29"/>
      <c r="B5" s="18"/>
      <c r="C5" s="19" t="s">
        <v>25</v>
      </c>
      <c r="D5" s="30" t="s">
        <v>26</v>
      </c>
      <c r="E5" s="31" t="s">
        <v>27</v>
      </c>
      <c r="F5" s="2"/>
      <c r="G5" s="3"/>
      <c r="H5" s="32">
        <v>0.2</v>
      </c>
      <c r="I5" s="23">
        <v>8.0</v>
      </c>
      <c r="J5" s="23">
        <v>6.0</v>
      </c>
      <c r="K5" s="23">
        <v>4.0</v>
      </c>
      <c r="L5" s="24">
        <f t="shared" si="1"/>
        <v>6</v>
      </c>
      <c r="M5" s="25">
        <f t="shared" si="2"/>
        <v>0.6666666667</v>
      </c>
      <c r="N5" s="25">
        <f t="shared" si="3"/>
        <v>53.33333333</v>
      </c>
      <c r="O5" s="26">
        <v>0.5</v>
      </c>
      <c r="P5" s="25">
        <f t="shared" si="4"/>
        <v>26.66666667</v>
      </c>
      <c r="Q5" s="27"/>
      <c r="R5" s="27">
        <f t="shared" si="5"/>
        <v>0</v>
      </c>
      <c r="S5" s="29"/>
    </row>
    <row r="6">
      <c r="A6" s="29"/>
      <c r="B6" s="18"/>
      <c r="C6" s="19" t="s">
        <v>28</v>
      </c>
      <c r="D6" s="30" t="s">
        <v>26</v>
      </c>
      <c r="E6" s="33" t="s">
        <v>29</v>
      </c>
      <c r="F6" s="2"/>
      <c r="G6" s="3"/>
      <c r="H6" s="22">
        <v>0.05</v>
      </c>
      <c r="I6" s="23">
        <v>5.0</v>
      </c>
      <c r="J6" s="23">
        <v>4.0</v>
      </c>
      <c r="K6" s="23">
        <v>2.0</v>
      </c>
      <c r="L6" s="24">
        <f t="shared" si="1"/>
        <v>3.833333333</v>
      </c>
      <c r="M6" s="25">
        <f t="shared" si="2"/>
        <v>0.5</v>
      </c>
      <c r="N6" s="25">
        <f t="shared" si="3"/>
        <v>34.66666667</v>
      </c>
      <c r="O6" s="34">
        <v>1.0</v>
      </c>
      <c r="P6" s="25">
        <f t="shared" si="4"/>
        <v>34.66666667</v>
      </c>
      <c r="Q6" s="27"/>
      <c r="R6" s="27">
        <f t="shared" si="5"/>
        <v>0</v>
      </c>
      <c r="S6" s="29"/>
    </row>
    <row r="7">
      <c r="A7" s="29"/>
      <c r="B7" s="18"/>
      <c r="C7" s="19" t="s">
        <v>30</v>
      </c>
      <c r="D7" s="33" t="s">
        <v>26</v>
      </c>
      <c r="E7" s="2"/>
      <c r="F7" s="3"/>
      <c r="G7" s="35" t="s">
        <v>31</v>
      </c>
      <c r="H7" s="22">
        <v>0.05</v>
      </c>
      <c r="I7" s="23">
        <v>8.0</v>
      </c>
      <c r="J7" s="23">
        <v>6.0</v>
      </c>
      <c r="K7" s="23">
        <v>4.0</v>
      </c>
      <c r="L7" s="24">
        <f t="shared" si="1"/>
        <v>6</v>
      </c>
      <c r="M7" s="25">
        <f t="shared" si="2"/>
        <v>0.6666666667</v>
      </c>
      <c r="N7" s="25">
        <f t="shared" si="3"/>
        <v>53.33333333</v>
      </c>
      <c r="O7" s="34">
        <v>1.0</v>
      </c>
      <c r="P7" s="25">
        <f t="shared" si="4"/>
        <v>53.33333333</v>
      </c>
      <c r="Q7" s="27"/>
      <c r="R7" s="27">
        <f t="shared" si="5"/>
        <v>0</v>
      </c>
      <c r="S7" s="29"/>
    </row>
    <row r="8">
      <c r="A8" s="29"/>
      <c r="B8" s="18"/>
      <c r="C8" s="19" t="s">
        <v>32</v>
      </c>
      <c r="D8" s="30" t="s">
        <v>26</v>
      </c>
      <c r="E8" s="36" t="s">
        <v>24</v>
      </c>
      <c r="H8" s="22">
        <v>0.13</v>
      </c>
      <c r="I8" s="23">
        <v>7.0</v>
      </c>
      <c r="J8" s="23">
        <v>5.0</v>
      </c>
      <c r="K8" s="23">
        <v>4.0</v>
      </c>
      <c r="L8" s="24">
        <f t="shared" si="1"/>
        <v>5.166666667</v>
      </c>
      <c r="M8" s="25">
        <f t="shared" si="2"/>
        <v>0.5</v>
      </c>
      <c r="N8" s="25">
        <f t="shared" si="3"/>
        <v>45.33333333</v>
      </c>
      <c r="O8" s="34">
        <v>1.0</v>
      </c>
      <c r="P8" s="25">
        <f t="shared" si="4"/>
        <v>45.33333333</v>
      </c>
      <c r="Q8" s="27"/>
      <c r="R8" s="27">
        <f t="shared" si="5"/>
        <v>0</v>
      </c>
      <c r="S8" s="29"/>
    </row>
    <row r="9">
      <c r="A9" s="29"/>
      <c r="B9" s="18"/>
      <c r="C9" s="19" t="s">
        <v>33</v>
      </c>
      <c r="D9" s="33" t="s">
        <v>26</v>
      </c>
      <c r="E9" s="37" t="s">
        <v>34</v>
      </c>
      <c r="F9" s="2"/>
      <c r="G9" s="3"/>
      <c r="H9" s="38">
        <v>0.1</v>
      </c>
      <c r="I9" s="23">
        <v>6.0</v>
      </c>
      <c r="J9" s="23">
        <v>5.0</v>
      </c>
      <c r="K9" s="23">
        <v>3.0</v>
      </c>
      <c r="L9" s="24">
        <f t="shared" si="1"/>
        <v>4.833333333</v>
      </c>
      <c r="M9" s="25">
        <f t="shared" si="2"/>
        <v>0.5</v>
      </c>
      <c r="N9" s="25">
        <f t="shared" si="3"/>
        <v>42.66666667</v>
      </c>
      <c r="O9" s="34">
        <v>1.0</v>
      </c>
      <c r="P9" s="25">
        <f t="shared" si="4"/>
        <v>42.66666667</v>
      </c>
      <c r="Q9" s="27"/>
      <c r="R9" s="27">
        <f t="shared" si="5"/>
        <v>0</v>
      </c>
      <c r="S9" s="29"/>
    </row>
    <row r="10">
      <c r="A10" s="29"/>
      <c r="B10" s="18"/>
      <c r="C10" s="19" t="s">
        <v>35</v>
      </c>
      <c r="D10" s="33" t="s">
        <v>21</v>
      </c>
      <c r="E10" s="33" t="s">
        <v>29</v>
      </c>
      <c r="F10" s="2"/>
      <c r="G10" s="3"/>
      <c r="H10" s="39">
        <v>0.02</v>
      </c>
      <c r="I10" s="23">
        <v>2.0</v>
      </c>
      <c r="J10" s="23">
        <v>1.0</v>
      </c>
      <c r="K10" s="23">
        <v>1.0</v>
      </c>
      <c r="L10" s="24">
        <f t="shared" si="1"/>
        <v>1.166666667</v>
      </c>
      <c r="M10" s="25">
        <f t="shared" si="2"/>
        <v>0.1666666667</v>
      </c>
      <c r="N10" s="25">
        <f t="shared" si="3"/>
        <v>10.66666667</v>
      </c>
      <c r="O10" s="34">
        <v>1.0</v>
      </c>
      <c r="P10" s="25">
        <f t="shared" si="4"/>
        <v>10.66666667</v>
      </c>
      <c r="Q10" s="27"/>
      <c r="R10" s="27">
        <f t="shared" si="5"/>
        <v>0</v>
      </c>
      <c r="S10" s="29"/>
    </row>
    <row r="11">
      <c r="A11" s="29"/>
      <c r="B11" s="18"/>
      <c r="C11" s="19" t="s">
        <v>36</v>
      </c>
      <c r="D11" s="30" t="s">
        <v>26</v>
      </c>
      <c r="E11" s="33" t="s">
        <v>34</v>
      </c>
      <c r="F11" s="2"/>
      <c r="G11" s="3"/>
      <c r="H11" s="22">
        <v>0.02</v>
      </c>
      <c r="I11" s="23">
        <v>2.0</v>
      </c>
      <c r="J11" s="23">
        <v>1.0</v>
      </c>
      <c r="K11" s="23">
        <v>1.0</v>
      </c>
      <c r="L11" s="24">
        <f t="shared" si="1"/>
        <v>1.166666667</v>
      </c>
      <c r="M11" s="25">
        <f t="shared" si="2"/>
        <v>0.1666666667</v>
      </c>
      <c r="N11" s="25">
        <f t="shared" si="3"/>
        <v>10.66666667</v>
      </c>
      <c r="O11" s="34">
        <v>1.0</v>
      </c>
      <c r="P11" s="25">
        <f t="shared" si="4"/>
        <v>10.66666667</v>
      </c>
      <c r="Q11" s="27"/>
      <c r="R11" s="27">
        <f t="shared" si="5"/>
        <v>0</v>
      </c>
      <c r="S11" s="29"/>
    </row>
    <row r="12">
      <c r="A12" s="29"/>
      <c r="B12" s="18"/>
      <c r="C12" s="40" t="s">
        <v>37</v>
      </c>
      <c r="D12" s="30" t="s">
        <v>26</v>
      </c>
      <c r="E12" s="33" t="s">
        <v>38</v>
      </c>
      <c r="F12" s="2"/>
      <c r="G12" s="3"/>
      <c r="H12" s="22">
        <v>0.04</v>
      </c>
      <c r="I12" s="23">
        <v>3.0</v>
      </c>
      <c r="J12" s="23">
        <v>2.0</v>
      </c>
      <c r="K12" s="23">
        <v>1.0</v>
      </c>
      <c r="L12" s="24">
        <f t="shared" si="1"/>
        <v>2</v>
      </c>
      <c r="M12" s="25">
        <f t="shared" si="2"/>
        <v>0.3333333333</v>
      </c>
      <c r="N12" s="25">
        <f t="shared" si="3"/>
        <v>18.66666667</v>
      </c>
      <c r="O12" s="34">
        <v>1.0</v>
      </c>
      <c r="P12" s="25">
        <f t="shared" si="4"/>
        <v>18.66666667</v>
      </c>
      <c r="Q12" s="27"/>
      <c r="R12" s="27">
        <f t="shared" si="5"/>
        <v>0</v>
      </c>
      <c r="S12" s="29"/>
    </row>
    <row r="13">
      <c r="A13" s="29"/>
      <c r="B13" s="18"/>
      <c r="C13" s="19" t="s">
        <v>39</v>
      </c>
      <c r="D13" s="30" t="s">
        <v>26</v>
      </c>
      <c r="E13" s="33" t="s">
        <v>24</v>
      </c>
      <c r="F13" s="2"/>
      <c r="G13" s="3"/>
      <c r="H13" s="22">
        <v>0.03</v>
      </c>
      <c r="I13" s="23">
        <v>3.0</v>
      </c>
      <c r="J13" s="23">
        <v>2.0</v>
      </c>
      <c r="K13" s="23">
        <v>1.0</v>
      </c>
      <c r="L13" s="24">
        <f t="shared" si="1"/>
        <v>2</v>
      </c>
      <c r="M13" s="25">
        <f t="shared" si="2"/>
        <v>0.3333333333</v>
      </c>
      <c r="N13" s="25">
        <f t="shared" si="3"/>
        <v>18.66666667</v>
      </c>
      <c r="O13" s="34">
        <v>1.0</v>
      </c>
      <c r="P13" s="25">
        <f t="shared" si="4"/>
        <v>18.66666667</v>
      </c>
      <c r="Q13" s="27"/>
      <c r="R13" s="27">
        <f t="shared" si="5"/>
        <v>0</v>
      </c>
      <c r="S13" s="29"/>
    </row>
    <row r="14">
      <c r="A14" s="29"/>
      <c r="B14" s="18"/>
      <c r="C14" s="19" t="s">
        <v>40</v>
      </c>
      <c r="D14" s="30" t="s">
        <v>41</v>
      </c>
      <c r="E14" s="41" t="s">
        <v>34</v>
      </c>
      <c r="F14" s="2"/>
      <c r="G14" s="3"/>
      <c r="H14" s="22">
        <v>0.05</v>
      </c>
      <c r="I14" s="23">
        <v>4.0</v>
      </c>
      <c r="J14" s="23">
        <v>3.0</v>
      </c>
      <c r="K14" s="23">
        <v>1.0</v>
      </c>
      <c r="L14" s="24">
        <f t="shared" si="1"/>
        <v>2.833333333</v>
      </c>
      <c r="M14" s="25">
        <f t="shared" si="2"/>
        <v>0.5</v>
      </c>
      <c r="N14" s="25">
        <f t="shared" si="3"/>
        <v>26.66666667</v>
      </c>
      <c r="O14" s="34">
        <v>1.0</v>
      </c>
      <c r="P14" s="25">
        <f t="shared" si="4"/>
        <v>26.66666667</v>
      </c>
      <c r="Q14" s="27"/>
      <c r="R14" s="27">
        <f t="shared" si="5"/>
        <v>0</v>
      </c>
      <c r="S14" s="29"/>
    </row>
    <row r="15">
      <c r="A15" s="29"/>
      <c r="B15" s="18"/>
      <c r="C15" s="19" t="s">
        <v>42</v>
      </c>
      <c r="D15" s="30" t="s">
        <v>41</v>
      </c>
      <c r="E15" s="33" t="s">
        <v>31</v>
      </c>
      <c r="F15" s="2"/>
      <c r="G15" s="3"/>
      <c r="H15" s="22">
        <v>0.05</v>
      </c>
      <c r="I15" s="23">
        <v>4.0</v>
      </c>
      <c r="J15" s="23">
        <v>2.0</v>
      </c>
      <c r="K15" s="23">
        <v>1.0</v>
      </c>
      <c r="L15" s="24">
        <f t="shared" si="1"/>
        <v>2.166666667</v>
      </c>
      <c r="M15" s="25">
        <f t="shared" si="2"/>
        <v>0.5</v>
      </c>
      <c r="N15" s="25">
        <f t="shared" si="3"/>
        <v>21.33333333</v>
      </c>
      <c r="O15" s="34">
        <v>1.0</v>
      </c>
      <c r="P15" s="25">
        <f t="shared" si="4"/>
        <v>21.33333333</v>
      </c>
      <c r="Q15" s="27"/>
      <c r="R15" s="27">
        <f t="shared" si="5"/>
        <v>0</v>
      </c>
      <c r="S15" s="29"/>
    </row>
    <row r="16">
      <c r="A16" s="29"/>
      <c r="B16" s="42"/>
      <c r="C16" s="43" t="s">
        <v>43</v>
      </c>
      <c r="D16" s="44" t="s">
        <v>41</v>
      </c>
      <c r="E16" s="45" t="s">
        <v>31</v>
      </c>
      <c r="F16" s="46"/>
      <c r="G16" s="47"/>
      <c r="H16" s="48">
        <v>0.08</v>
      </c>
      <c r="I16" s="23">
        <v>6.0</v>
      </c>
      <c r="J16" s="23">
        <v>5.0</v>
      </c>
      <c r="K16" s="23">
        <v>3.0</v>
      </c>
      <c r="L16" s="24">
        <f t="shared" si="1"/>
        <v>4.833333333</v>
      </c>
      <c r="M16" s="25">
        <f t="shared" si="2"/>
        <v>0.5</v>
      </c>
      <c r="N16" s="25">
        <f t="shared" si="3"/>
        <v>42.66666667</v>
      </c>
      <c r="O16" s="34">
        <v>1.0</v>
      </c>
      <c r="P16" s="25">
        <f t="shared" si="4"/>
        <v>42.66666667</v>
      </c>
      <c r="Q16" s="27"/>
      <c r="R16" s="27">
        <f t="shared" si="5"/>
        <v>0</v>
      </c>
      <c r="S16" s="49"/>
    </row>
    <row r="17">
      <c r="A17" s="50"/>
      <c r="B17" s="18"/>
      <c r="C17" s="19" t="s">
        <v>44</v>
      </c>
      <c r="D17" s="30" t="s">
        <v>26</v>
      </c>
      <c r="E17" s="33" t="s">
        <v>31</v>
      </c>
      <c r="F17" s="2"/>
      <c r="G17" s="3"/>
      <c r="H17" s="22">
        <v>0.05</v>
      </c>
      <c r="I17" s="23">
        <v>4.0</v>
      </c>
      <c r="J17" s="23">
        <v>3.0</v>
      </c>
      <c r="K17" s="23">
        <v>2.0</v>
      </c>
      <c r="L17" s="24">
        <f t="shared" si="1"/>
        <v>3</v>
      </c>
      <c r="M17" s="25">
        <f t="shared" si="2"/>
        <v>0.3333333333</v>
      </c>
      <c r="N17" s="25">
        <f t="shared" si="3"/>
        <v>26.66666667</v>
      </c>
      <c r="O17" s="34">
        <v>1.0</v>
      </c>
      <c r="P17" s="25">
        <f t="shared" si="4"/>
        <v>26.66666667</v>
      </c>
      <c r="Q17" s="27"/>
      <c r="R17" s="27">
        <f t="shared" si="5"/>
        <v>0</v>
      </c>
      <c r="S17" s="28">
        <f>SUM(R17:R28)</f>
        <v>0</v>
      </c>
    </row>
    <row r="18">
      <c r="A18" s="29"/>
      <c r="B18" s="18"/>
      <c r="C18" s="19"/>
      <c r="D18" s="20"/>
      <c r="H18" s="51"/>
      <c r="I18" s="24"/>
      <c r="J18" s="24"/>
      <c r="K18" s="24"/>
      <c r="L18" s="24">
        <f t="shared" si="1"/>
        <v>0</v>
      </c>
      <c r="M18" s="25">
        <f t="shared" si="2"/>
        <v>0</v>
      </c>
      <c r="N18" s="25">
        <f t="shared" si="3"/>
        <v>0</v>
      </c>
      <c r="O18" s="34">
        <v>1.0</v>
      </c>
      <c r="P18" s="25">
        <f t="shared" si="4"/>
        <v>0</v>
      </c>
      <c r="Q18" s="27"/>
      <c r="R18" s="27">
        <f t="shared" si="5"/>
        <v>0</v>
      </c>
      <c r="S18" s="29"/>
    </row>
    <row r="19">
      <c r="A19" s="29"/>
      <c r="B19" s="18"/>
      <c r="C19" s="18"/>
      <c r="D19" s="20"/>
      <c r="E19" s="21"/>
      <c r="F19" s="2"/>
      <c r="G19" s="3"/>
      <c r="H19" s="51"/>
      <c r="I19" s="24"/>
      <c r="J19" s="24"/>
      <c r="K19" s="24"/>
      <c r="L19" s="24">
        <f t="shared" si="1"/>
        <v>0</v>
      </c>
      <c r="M19" s="25">
        <f t="shared" si="2"/>
        <v>0</v>
      </c>
      <c r="N19" s="25">
        <f t="shared" si="3"/>
        <v>0</v>
      </c>
      <c r="O19" s="34">
        <v>1.0</v>
      </c>
      <c r="P19" s="25">
        <f t="shared" si="4"/>
        <v>0</v>
      </c>
      <c r="Q19" s="27"/>
      <c r="R19" s="27">
        <f t="shared" si="5"/>
        <v>0</v>
      </c>
      <c r="S19" s="29"/>
    </row>
    <row r="20">
      <c r="A20" s="29"/>
      <c r="B20" s="18"/>
      <c r="C20" s="18"/>
      <c r="D20" s="20"/>
      <c r="E20" s="21"/>
      <c r="F20" s="2"/>
      <c r="G20" s="3"/>
      <c r="H20" s="51"/>
      <c r="I20" s="24"/>
      <c r="J20" s="24"/>
      <c r="K20" s="24"/>
      <c r="L20" s="24">
        <f t="shared" si="1"/>
        <v>0</v>
      </c>
      <c r="M20" s="25">
        <f t="shared" si="2"/>
        <v>0</v>
      </c>
      <c r="N20" s="25">
        <f t="shared" si="3"/>
        <v>0</v>
      </c>
      <c r="O20" s="34">
        <v>1.0</v>
      </c>
      <c r="P20" s="25">
        <f t="shared" si="4"/>
        <v>0</v>
      </c>
      <c r="Q20" s="27"/>
      <c r="R20" s="27">
        <f t="shared" si="5"/>
        <v>0</v>
      </c>
      <c r="S20" s="29"/>
    </row>
    <row r="21" ht="15.75" customHeight="1">
      <c r="A21" s="29"/>
      <c r="B21" s="18"/>
      <c r="C21" s="18"/>
      <c r="D21" s="20"/>
      <c r="E21" s="21"/>
      <c r="F21" s="2"/>
      <c r="G21" s="3"/>
      <c r="H21" s="51"/>
      <c r="I21" s="24"/>
      <c r="J21" s="24"/>
      <c r="K21" s="24"/>
      <c r="L21" s="24">
        <f t="shared" si="1"/>
        <v>0</v>
      </c>
      <c r="M21" s="25">
        <f t="shared" si="2"/>
        <v>0</v>
      </c>
      <c r="N21" s="25">
        <f t="shared" si="3"/>
        <v>0</v>
      </c>
      <c r="O21" s="34">
        <v>1.0</v>
      </c>
      <c r="P21" s="25">
        <f t="shared" si="4"/>
        <v>0</v>
      </c>
      <c r="Q21" s="27"/>
      <c r="R21" s="27">
        <f t="shared" si="5"/>
        <v>0</v>
      </c>
      <c r="S21" s="29"/>
    </row>
    <row r="22" ht="15.75" customHeight="1">
      <c r="A22" s="29"/>
      <c r="B22" s="18"/>
      <c r="C22" s="18"/>
      <c r="D22" s="20"/>
      <c r="E22" s="21"/>
      <c r="F22" s="2"/>
      <c r="G22" s="3"/>
      <c r="H22" s="51"/>
      <c r="I22" s="24"/>
      <c r="J22" s="24"/>
      <c r="K22" s="24"/>
      <c r="L22" s="24">
        <f t="shared" si="1"/>
        <v>0</v>
      </c>
      <c r="M22" s="25">
        <f t="shared" si="2"/>
        <v>0</v>
      </c>
      <c r="N22" s="25">
        <f t="shared" si="3"/>
        <v>0</v>
      </c>
      <c r="O22" s="34">
        <v>1.0</v>
      </c>
      <c r="P22" s="25">
        <f t="shared" si="4"/>
        <v>0</v>
      </c>
      <c r="Q22" s="27"/>
      <c r="R22" s="27">
        <f t="shared" si="5"/>
        <v>0</v>
      </c>
      <c r="S22" s="29"/>
    </row>
    <row r="23" ht="15.75" customHeight="1">
      <c r="A23" s="29"/>
      <c r="B23" s="18"/>
      <c r="C23" s="18"/>
      <c r="D23" s="20"/>
      <c r="E23" s="21"/>
      <c r="F23" s="2"/>
      <c r="G23" s="3"/>
      <c r="H23" s="51"/>
      <c r="I23" s="24"/>
      <c r="J23" s="24"/>
      <c r="K23" s="24"/>
      <c r="L23" s="24">
        <f t="shared" si="1"/>
        <v>0</v>
      </c>
      <c r="M23" s="25">
        <f t="shared" si="2"/>
        <v>0</v>
      </c>
      <c r="N23" s="25">
        <f t="shared" si="3"/>
        <v>0</v>
      </c>
      <c r="O23" s="34">
        <v>1.0</v>
      </c>
      <c r="P23" s="25">
        <f t="shared" si="4"/>
        <v>0</v>
      </c>
      <c r="Q23" s="27"/>
      <c r="R23" s="27">
        <f t="shared" si="5"/>
        <v>0</v>
      </c>
      <c r="S23" s="29"/>
    </row>
    <row r="24" ht="15.75" customHeight="1">
      <c r="A24" s="29"/>
      <c r="B24" s="18"/>
      <c r="C24" s="18"/>
      <c r="D24" s="20"/>
      <c r="E24" s="21"/>
      <c r="F24" s="2"/>
      <c r="G24" s="3"/>
      <c r="H24" s="51"/>
      <c r="I24" s="24"/>
      <c r="J24" s="24"/>
      <c r="K24" s="24"/>
      <c r="L24" s="24">
        <f t="shared" si="1"/>
        <v>0</v>
      </c>
      <c r="M24" s="25">
        <f t="shared" si="2"/>
        <v>0</v>
      </c>
      <c r="N24" s="25">
        <f t="shared" si="3"/>
        <v>0</v>
      </c>
      <c r="O24" s="34">
        <v>1.0</v>
      </c>
      <c r="P24" s="25">
        <f t="shared" si="4"/>
        <v>0</v>
      </c>
      <c r="Q24" s="27"/>
      <c r="R24" s="27">
        <f t="shared" si="5"/>
        <v>0</v>
      </c>
      <c r="S24" s="29"/>
    </row>
    <row r="25" ht="15.75" customHeight="1">
      <c r="A25" s="29"/>
      <c r="B25" s="18"/>
      <c r="C25" s="18"/>
      <c r="D25" s="20"/>
      <c r="E25" s="21"/>
      <c r="F25" s="2"/>
      <c r="G25" s="3"/>
      <c r="H25" s="51"/>
      <c r="I25" s="24"/>
      <c r="J25" s="24"/>
      <c r="K25" s="24"/>
      <c r="L25" s="24">
        <f t="shared" si="1"/>
        <v>0</v>
      </c>
      <c r="M25" s="25">
        <f t="shared" si="2"/>
        <v>0</v>
      </c>
      <c r="N25" s="25">
        <f t="shared" si="3"/>
        <v>0</v>
      </c>
      <c r="O25" s="34">
        <v>1.0</v>
      </c>
      <c r="P25" s="25">
        <f t="shared" si="4"/>
        <v>0</v>
      </c>
      <c r="Q25" s="27"/>
      <c r="R25" s="27">
        <f t="shared" si="5"/>
        <v>0</v>
      </c>
      <c r="S25" s="29"/>
    </row>
    <row r="26" ht="15.75" customHeight="1">
      <c r="A26" s="29"/>
      <c r="B26" s="18"/>
      <c r="C26" s="18"/>
      <c r="D26" s="20"/>
      <c r="E26" s="21"/>
      <c r="F26" s="2"/>
      <c r="G26" s="3"/>
      <c r="H26" s="51"/>
      <c r="I26" s="24"/>
      <c r="J26" s="24"/>
      <c r="K26" s="24"/>
      <c r="L26" s="24">
        <f t="shared" si="1"/>
        <v>0</v>
      </c>
      <c r="M26" s="25">
        <f t="shared" si="2"/>
        <v>0</v>
      </c>
      <c r="N26" s="25">
        <f t="shared" si="3"/>
        <v>0</v>
      </c>
      <c r="O26" s="34">
        <v>1.0</v>
      </c>
      <c r="P26" s="25">
        <f t="shared" si="4"/>
        <v>0</v>
      </c>
      <c r="Q26" s="27"/>
      <c r="R26" s="27">
        <f t="shared" si="5"/>
        <v>0</v>
      </c>
      <c r="S26" s="29"/>
    </row>
    <row r="27" ht="15.75" customHeight="1">
      <c r="A27" s="29"/>
      <c r="B27" s="18"/>
      <c r="C27" s="18"/>
      <c r="D27" s="20"/>
      <c r="E27" s="21"/>
      <c r="F27" s="2"/>
      <c r="G27" s="3"/>
      <c r="H27" s="51"/>
      <c r="I27" s="24"/>
      <c r="J27" s="24"/>
      <c r="K27" s="24"/>
      <c r="L27" s="24">
        <f t="shared" si="1"/>
        <v>0</v>
      </c>
      <c r="M27" s="25">
        <f t="shared" si="2"/>
        <v>0</v>
      </c>
      <c r="N27" s="25">
        <f t="shared" si="3"/>
        <v>0</v>
      </c>
      <c r="O27" s="34">
        <v>1.0</v>
      </c>
      <c r="P27" s="25">
        <f t="shared" si="4"/>
        <v>0</v>
      </c>
      <c r="Q27" s="27"/>
      <c r="R27" s="27">
        <f t="shared" si="5"/>
        <v>0</v>
      </c>
      <c r="S27" s="29"/>
    </row>
    <row r="28" ht="15.75" customHeight="1">
      <c r="A28" s="49"/>
      <c r="B28" s="18"/>
      <c r="C28" s="18"/>
      <c r="D28" s="20"/>
      <c r="E28" s="21"/>
      <c r="F28" s="2"/>
      <c r="G28" s="3"/>
      <c r="H28" s="51"/>
      <c r="I28" s="24"/>
      <c r="J28" s="24"/>
      <c r="K28" s="24"/>
      <c r="L28" s="24">
        <f t="shared" si="1"/>
        <v>0</v>
      </c>
      <c r="M28" s="25">
        <f t="shared" si="2"/>
        <v>0</v>
      </c>
      <c r="N28" s="25">
        <f t="shared" si="3"/>
        <v>0</v>
      </c>
      <c r="O28" s="34">
        <v>1.0</v>
      </c>
      <c r="P28" s="25">
        <f t="shared" si="4"/>
        <v>0</v>
      </c>
      <c r="Q28" s="27"/>
      <c r="R28" s="27">
        <f t="shared" si="5"/>
        <v>0</v>
      </c>
      <c r="S28" s="49"/>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A1:P1"/>
    <mergeCell ref="Q1:S1"/>
    <mergeCell ref="E2:G2"/>
    <mergeCell ref="A3:A16"/>
    <mergeCell ref="E3:G3"/>
    <mergeCell ref="S3:S16"/>
    <mergeCell ref="E4:G4"/>
    <mergeCell ref="E16:G16"/>
    <mergeCell ref="E27:G27"/>
    <mergeCell ref="E28:G28"/>
    <mergeCell ref="E14:G14"/>
    <mergeCell ref="E15:G15"/>
    <mergeCell ref="A17:A28"/>
    <mergeCell ref="E17:G17"/>
    <mergeCell ref="S17:S28"/>
    <mergeCell ref="E19:G19"/>
    <mergeCell ref="E20:G20"/>
    <mergeCell ref="E5:G5"/>
    <mergeCell ref="E6:G6"/>
    <mergeCell ref="D7:F7"/>
    <mergeCell ref="E9:G9"/>
    <mergeCell ref="E10:G10"/>
    <mergeCell ref="E11:G11"/>
    <mergeCell ref="E12:G12"/>
    <mergeCell ref="E13:G13"/>
    <mergeCell ref="E21:G21"/>
    <mergeCell ref="E22:G22"/>
    <mergeCell ref="E23:G23"/>
    <mergeCell ref="E24:G24"/>
    <mergeCell ref="E25:G25"/>
    <mergeCell ref="E26:G26"/>
  </mergeCells>
  <printOptions/>
  <pageMargins bottom="0.7480314960629921" footer="0.0" header="0.0" left="0.7086614173228347" right="0.7086614173228347"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20.86"/>
    <col customWidth="1" min="3" max="3" width="27.0"/>
    <col customWidth="1" min="4" max="4" width="20.43"/>
    <col customWidth="1" min="5" max="6" width="10.71"/>
    <col customWidth="1" min="7" max="7" width="13.14"/>
    <col customWidth="1" min="8" max="10" width="10.71"/>
  </cols>
  <sheetData>
    <row r="1" ht="28.5" customHeight="1">
      <c r="A1" s="1" t="s">
        <v>45</v>
      </c>
      <c r="B1" s="2"/>
      <c r="C1" s="2"/>
      <c r="D1" s="3"/>
      <c r="E1" s="4" t="s">
        <v>1</v>
      </c>
      <c r="F1" s="5"/>
      <c r="G1" s="6"/>
    </row>
    <row r="2" ht="75.75" customHeight="1">
      <c r="A2" s="7" t="s">
        <v>2</v>
      </c>
      <c r="B2" s="52" t="s">
        <v>46</v>
      </c>
      <c r="C2" s="9" t="s">
        <v>4</v>
      </c>
      <c r="D2" s="9" t="s">
        <v>47</v>
      </c>
      <c r="E2" s="15" t="s">
        <v>48</v>
      </c>
      <c r="F2" s="15" t="s">
        <v>17</v>
      </c>
      <c r="G2" s="16" t="s">
        <v>49</v>
      </c>
    </row>
    <row r="3">
      <c r="A3" s="53" t="s">
        <v>50</v>
      </c>
      <c r="B3" s="54" t="s">
        <v>51</v>
      </c>
      <c r="C3" s="55" t="s">
        <v>52</v>
      </c>
      <c r="D3" s="30"/>
      <c r="E3" s="27">
        <v>507562.2</v>
      </c>
      <c r="F3" s="27">
        <f t="shared" ref="F3:F25" si="1">E3*D3</f>
        <v>0</v>
      </c>
      <c r="G3" s="56">
        <f>SUM(F3:F13)</f>
        <v>0</v>
      </c>
      <c r="H3" s="57"/>
    </row>
    <row r="4">
      <c r="A4" s="29"/>
      <c r="B4" s="29"/>
      <c r="C4" s="58" t="s">
        <v>53</v>
      </c>
      <c r="D4" s="30"/>
      <c r="E4" s="27">
        <v>507562.2</v>
      </c>
      <c r="F4" s="27">
        <f t="shared" si="1"/>
        <v>0</v>
      </c>
      <c r="G4" s="29"/>
      <c r="H4" s="57"/>
    </row>
    <row r="5">
      <c r="A5" s="29"/>
      <c r="B5" s="29"/>
      <c r="C5" s="58" t="s">
        <v>54</v>
      </c>
      <c r="D5" s="59"/>
      <c r="E5" s="27">
        <v>507562.2</v>
      </c>
      <c r="F5" s="27">
        <f t="shared" si="1"/>
        <v>0</v>
      </c>
      <c r="G5" s="29"/>
      <c r="H5" s="57"/>
    </row>
    <row r="6">
      <c r="A6" s="29"/>
      <c r="B6" s="49"/>
      <c r="C6" s="58" t="s">
        <v>55</v>
      </c>
      <c r="D6" s="30"/>
      <c r="E6" s="27">
        <v>507562.2</v>
      </c>
      <c r="F6" s="27">
        <f t="shared" si="1"/>
        <v>0</v>
      </c>
      <c r="G6" s="29"/>
      <c r="H6" s="57"/>
    </row>
    <row r="7">
      <c r="A7" s="29"/>
      <c r="B7" s="18"/>
      <c r="C7" s="18"/>
      <c r="D7" s="20"/>
      <c r="E7" s="27"/>
      <c r="F7" s="27">
        <f t="shared" si="1"/>
        <v>0</v>
      </c>
      <c r="G7" s="29"/>
      <c r="H7" s="57"/>
    </row>
    <row r="8">
      <c r="A8" s="29"/>
      <c r="B8" s="60"/>
      <c r="C8" s="19"/>
      <c r="D8" s="30"/>
      <c r="E8" s="27"/>
      <c r="F8" s="27">
        <f t="shared" si="1"/>
        <v>0</v>
      </c>
      <c r="G8" s="29"/>
      <c r="H8" s="57"/>
    </row>
    <row r="9">
      <c r="A9" s="29"/>
      <c r="B9" s="29"/>
      <c r="C9" s="19"/>
      <c r="D9" s="61"/>
      <c r="E9" s="27"/>
      <c r="F9" s="27">
        <f t="shared" si="1"/>
        <v>0</v>
      </c>
      <c r="G9" s="29"/>
      <c r="H9" s="57"/>
    </row>
    <row r="10">
      <c r="A10" s="29"/>
      <c r="B10" s="29"/>
      <c r="C10" s="19"/>
      <c r="D10" s="30"/>
      <c r="E10" s="27"/>
      <c r="F10" s="27">
        <f t="shared" si="1"/>
        <v>0</v>
      </c>
      <c r="G10" s="29"/>
      <c r="H10" s="57"/>
    </row>
    <row r="11">
      <c r="A11" s="29"/>
      <c r="B11" s="49"/>
      <c r="C11" s="19"/>
      <c r="D11" s="30"/>
      <c r="E11" s="27"/>
      <c r="F11" s="27">
        <f t="shared" si="1"/>
        <v>0</v>
      </c>
      <c r="G11" s="29"/>
      <c r="H11" s="57"/>
    </row>
    <row r="12">
      <c r="A12" s="29"/>
      <c r="B12" s="18"/>
      <c r="C12" s="18"/>
      <c r="D12" s="20"/>
      <c r="E12" s="27"/>
      <c r="F12" s="27">
        <f t="shared" si="1"/>
        <v>0</v>
      </c>
      <c r="G12" s="29"/>
      <c r="H12" s="57"/>
    </row>
    <row r="13">
      <c r="A13" s="62"/>
      <c r="B13" s="63"/>
      <c r="C13" s="63"/>
      <c r="D13" s="64"/>
      <c r="E13" s="65"/>
      <c r="F13" s="65">
        <f t="shared" si="1"/>
        <v>0</v>
      </c>
      <c r="G13" s="62"/>
      <c r="H13" s="57"/>
    </row>
    <row r="14">
      <c r="A14" s="53" t="s">
        <v>56</v>
      </c>
      <c r="B14" s="66" t="s">
        <v>57</v>
      </c>
      <c r="C14" s="67"/>
      <c r="D14" s="68"/>
      <c r="E14" s="69">
        <v>507562.2</v>
      </c>
      <c r="F14" s="69">
        <f t="shared" si="1"/>
        <v>0</v>
      </c>
      <c r="G14" s="70">
        <f>SUM(F14:F41)</f>
        <v>0</v>
      </c>
      <c r="H14" s="71"/>
    </row>
    <row r="15">
      <c r="A15" s="29"/>
      <c r="B15" s="29"/>
      <c r="C15" s="58" t="s">
        <v>53</v>
      </c>
      <c r="D15" s="20"/>
      <c r="E15" s="27">
        <v>507562.2</v>
      </c>
      <c r="F15" s="27">
        <f t="shared" si="1"/>
        <v>0</v>
      </c>
      <c r="G15" s="29"/>
      <c r="H15" s="71"/>
    </row>
    <row r="16">
      <c r="A16" s="29"/>
      <c r="B16" s="29"/>
      <c r="C16" s="58" t="s">
        <v>54</v>
      </c>
      <c r="D16" s="72"/>
      <c r="E16" s="27">
        <v>507562.2</v>
      </c>
      <c r="F16" s="27">
        <f t="shared" si="1"/>
        <v>0</v>
      </c>
      <c r="G16" s="29"/>
      <c r="H16" s="71"/>
    </row>
    <row r="17">
      <c r="A17" s="29"/>
      <c r="B17" s="49"/>
      <c r="C17" s="58" t="s">
        <v>55</v>
      </c>
      <c r="D17" s="20"/>
      <c r="E17" s="27">
        <v>507562.2</v>
      </c>
      <c r="F17" s="27">
        <f t="shared" si="1"/>
        <v>0</v>
      </c>
      <c r="G17" s="29"/>
      <c r="H17" s="71"/>
    </row>
    <row r="18" ht="15.75" customHeight="1">
      <c r="A18" s="29"/>
      <c r="B18" s="18"/>
      <c r="C18" s="18"/>
      <c r="D18" s="20"/>
      <c r="E18" s="27"/>
      <c r="F18" s="27">
        <f t="shared" si="1"/>
        <v>0</v>
      </c>
      <c r="G18" s="29"/>
      <c r="H18" s="71"/>
    </row>
    <row r="19" ht="15.75" customHeight="1">
      <c r="A19" s="29"/>
      <c r="B19" s="73" t="s">
        <v>58</v>
      </c>
      <c r="C19" s="55" t="s">
        <v>59</v>
      </c>
      <c r="D19" s="20"/>
      <c r="E19" s="27"/>
      <c r="F19" s="27">
        <f t="shared" si="1"/>
        <v>0</v>
      </c>
      <c r="G19" s="29"/>
      <c r="H19" s="71"/>
    </row>
    <row r="20" ht="15.75" customHeight="1">
      <c r="A20" s="29"/>
      <c r="B20" s="19"/>
      <c r="C20" s="74" t="s">
        <v>60</v>
      </c>
      <c r="D20" s="75"/>
      <c r="E20" s="27"/>
      <c r="F20" s="27">
        <f t="shared" si="1"/>
        <v>0</v>
      </c>
      <c r="G20" s="29"/>
      <c r="H20" s="71"/>
    </row>
    <row r="21" ht="15.75" customHeight="1">
      <c r="A21" s="29"/>
      <c r="B21" s="19"/>
      <c r="C21" s="74" t="s">
        <v>61</v>
      </c>
      <c r="D21" s="20"/>
      <c r="E21" s="27"/>
      <c r="F21" s="27">
        <f t="shared" si="1"/>
        <v>0</v>
      </c>
      <c r="G21" s="29"/>
      <c r="H21" s="71"/>
    </row>
    <row r="22" ht="15.75" customHeight="1">
      <c r="A22" s="29"/>
      <c r="B22" s="18"/>
      <c r="C22" s="74" t="s">
        <v>53</v>
      </c>
      <c r="D22" s="20"/>
      <c r="E22" s="27"/>
      <c r="F22" s="27">
        <f t="shared" si="1"/>
        <v>0</v>
      </c>
      <c r="G22" s="29"/>
      <c r="H22" s="71"/>
    </row>
    <row r="23" ht="15.75" customHeight="1">
      <c r="A23" s="29"/>
      <c r="B23" s="18"/>
      <c r="C23" s="74" t="s">
        <v>54</v>
      </c>
      <c r="D23" s="20"/>
      <c r="E23" s="27"/>
      <c r="F23" s="27">
        <f t="shared" si="1"/>
        <v>0</v>
      </c>
      <c r="G23" s="29"/>
      <c r="H23" s="71"/>
    </row>
    <row r="24" ht="15.75" customHeight="1">
      <c r="A24" s="29"/>
      <c r="B24" s="18"/>
      <c r="C24" s="74" t="s">
        <v>55</v>
      </c>
      <c r="D24" s="20"/>
      <c r="E24" s="27"/>
      <c r="F24" s="27">
        <f t="shared" si="1"/>
        <v>0</v>
      </c>
      <c r="G24" s="29"/>
      <c r="H24" s="71"/>
    </row>
    <row r="25" ht="15.75" customHeight="1">
      <c r="A25" s="29"/>
      <c r="B25" s="76"/>
      <c r="C25" s="77"/>
      <c r="D25" s="20"/>
      <c r="E25" s="27"/>
      <c r="F25" s="27">
        <f t="shared" si="1"/>
        <v>0</v>
      </c>
      <c r="G25" s="29"/>
      <c r="H25" s="71"/>
    </row>
    <row r="26" ht="15.75" customHeight="1">
      <c r="A26" s="29"/>
      <c r="B26" s="18"/>
      <c r="C26" s="76"/>
      <c r="D26" s="78"/>
      <c r="E26" s="27"/>
      <c r="F26" s="27"/>
      <c r="G26" s="29"/>
      <c r="H26" s="71"/>
    </row>
    <row r="27" ht="15.75" customHeight="1">
      <c r="A27" s="29"/>
      <c r="B27" s="55" t="s">
        <v>62</v>
      </c>
      <c r="C27" s="79" t="s">
        <v>63</v>
      </c>
      <c r="D27" s="80"/>
      <c r="E27" s="81"/>
      <c r="F27" s="81"/>
      <c r="G27" s="29"/>
      <c r="H27" s="71"/>
    </row>
    <row r="28" ht="15.75" customHeight="1">
      <c r="A28" s="29"/>
      <c r="B28" s="18"/>
      <c r="C28" s="82"/>
      <c r="D28" s="68"/>
      <c r="E28" s="69"/>
      <c r="F28" s="69"/>
      <c r="G28" s="29"/>
      <c r="H28" s="71"/>
    </row>
    <row r="29" ht="15.75" customHeight="1">
      <c r="A29" s="62"/>
      <c r="B29" s="63"/>
      <c r="C29" s="83"/>
      <c r="D29" s="64"/>
      <c r="E29" s="65"/>
      <c r="F29" s="65"/>
      <c r="G29" s="62"/>
      <c r="H29" s="71"/>
    </row>
    <row r="30" ht="15.75" customHeight="1">
      <c r="A30" s="53" t="s">
        <v>56</v>
      </c>
      <c r="B30" s="84"/>
      <c r="C30" s="82"/>
      <c r="D30" s="68"/>
      <c r="E30" s="69"/>
      <c r="F30" s="69"/>
      <c r="H30" s="85"/>
    </row>
    <row r="31" ht="15.75" customHeight="1">
      <c r="A31" s="29"/>
      <c r="B31" s="18"/>
      <c r="C31" s="76"/>
      <c r="D31" s="20"/>
      <c r="E31" s="27"/>
      <c r="F31" s="27"/>
      <c r="H31" s="85"/>
    </row>
    <row r="32" ht="15.75" customHeight="1">
      <c r="A32" s="29"/>
      <c r="B32" s="18"/>
      <c r="C32" s="76"/>
      <c r="D32" s="20"/>
      <c r="E32" s="27"/>
      <c r="F32" s="27"/>
      <c r="H32" s="85"/>
    </row>
    <row r="33" ht="15.75" customHeight="1">
      <c r="A33" s="29"/>
      <c r="B33" s="19" t="s">
        <v>64</v>
      </c>
      <c r="C33" s="86" t="s">
        <v>65</v>
      </c>
      <c r="D33" s="20"/>
      <c r="E33" s="27"/>
      <c r="F33" s="27"/>
      <c r="H33" s="85"/>
    </row>
    <row r="34" ht="15.75" customHeight="1">
      <c r="A34" s="29"/>
      <c r="B34" s="18"/>
      <c r="C34" s="55" t="s">
        <v>66</v>
      </c>
      <c r="D34" s="20"/>
      <c r="E34" s="27"/>
      <c r="F34" s="27"/>
      <c r="H34" s="85"/>
    </row>
    <row r="35" ht="15.75" customHeight="1">
      <c r="A35" s="29"/>
      <c r="B35" s="18"/>
      <c r="C35" s="55" t="s">
        <v>67</v>
      </c>
      <c r="D35" s="20"/>
      <c r="E35" s="27"/>
      <c r="F35" s="27"/>
      <c r="H35" s="85"/>
    </row>
    <row r="36" ht="15.75" customHeight="1">
      <c r="A36" s="29"/>
      <c r="B36" s="18"/>
      <c r="C36" s="58" t="s">
        <v>53</v>
      </c>
      <c r="D36" s="20"/>
      <c r="E36" s="27"/>
      <c r="F36" s="27"/>
      <c r="H36" s="85"/>
    </row>
    <row r="37" ht="15.75" customHeight="1">
      <c r="A37" s="29"/>
      <c r="B37" s="18"/>
      <c r="C37" s="58" t="s">
        <v>54</v>
      </c>
      <c r="D37" s="20"/>
      <c r="E37" s="27"/>
      <c r="F37" s="27"/>
      <c r="H37" s="85"/>
    </row>
    <row r="38" ht="15.75" customHeight="1">
      <c r="A38" s="29"/>
      <c r="B38" s="18"/>
      <c r="C38" s="58" t="s">
        <v>55</v>
      </c>
      <c r="D38" s="20"/>
      <c r="E38" s="27"/>
      <c r="F38" s="27">
        <f>E38*D38</f>
        <v>0</v>
      </c>
      <c r="H38" s="85"/>
    </row>
    <row r="39" ht="15.75" customHeight="1">
      <c r="A39" s="29"/>
      <c r="B39" s="42"/>
      <c r="C39" s="76"/>
      <c r="D39" s="78"/>
      <c r="E39" s="27"/>
      <c r="F39" s="27"/>
      <c r="H39" s="85"/>
    </row>
    <row r="40" ht="15.75" customHeight="1">
      <c r="A40" s="29"/>
      <c r="B40" s="42"/>
      <c r="C40" s="76"/>
      <c r="D40" s="78"/>
      <c r="E40" s="27"/>
      <c r="F40" s="27"/>
      <c r="H40" s="85"/>
    </row>
    <row r="41" ht="15.75" customHeight="1">
      <c r="A41" s="29"/>
      <c r="B41" s="18"/>
      <c r="C41" s="76"/>
      <c r="D41" s="20"/>
      <c r="E41" s="27"/>
      <c r="F41" s="27">
        <f>E41*D41</f>
        <v>0</v>
      </c>
      <c r="H41" s="85"/>
    </row>
    <row r="42" ht="15.75" customHeight="1">
      <c r="A42" s="29"/>
      <c r="B42" s="76"/>
      <c r="C42" s="76"/>
      <c r="D42" s="76"/>
      <c r="E42" s="76"/>
      <c r="F42" s="76"/>
      <c r="H42" s="85"/>
    </row>
    <row r="43" ht="15.75" customHeight="1">
      <c r="A43" s="62"/>
      <c r="B43" s="87"/>
      <c r="C43" s="87"/>
      <c r="D43" s="87"/>
      <c r="E43" s="87"/>
      <c r="F43" s="87"/>
      <c r="H43" s="85"/>
    </row>
    <row r="44" ht="15.75" customHeight="1">
      <c r="A44" s="53" t="s">
        <v>68</v>
      </c>
      <c r="B44" s="88"/>
      <c r="C44" s="88"/>
      <c r="D44" s="88"/>
      <c r="E44" s="88"/>
      <c r="F44" s="88"/>
      <c r="G44" s="89"/>
      <c r="H44" s="85"/>
    </row>
    <row r="45" ht="15.75" customHeight="1">
      <c r="A45" s="29"/>
      <c r="B45" s="76"/>
      <c r="C45" s="76"/>
      <c r="D45" s="76"/>
      <c r="E45" s="76"/>
      <c r="F45" s="76"/>
      <c r="G45" s="89"/>
      <c r="H45" s="85"/>
    </row>
    <row r="46" ht="15.75" customHeight="1">
      <c r="A46" s="29"/>
      <c r="B46" s="54" t="s">
        <v>69</v>
      </c>
      <c r="C46" s="55" t="s">
        <v>70</v>
      </c>
      <c r="D46" s="20"/>
      <c r="E46" s="27">
        <v>507562.2</v>
      </c>
      <c r="F46" s="27">
        <f t="shared" ref="F46:F74" si="2">E46*D46</f>
        <v>0</v>
      </c>
      <c r="G46" s="70">
        <f>SUM(F46:F59)</f>
        <v>0</v>
      </c>
      <c r="H46" s="85"/>
    </row>
    <row r="47" ht="15.75" customHeight="1">
      <c r="A47" s="29"/>
      <c r="B47" s="29"/>
      <c r="C47" s="58" t="s">
        <v>53</v>
      </c>
      <c r="D47" s="20"/>
      <c r="E47" s="27">
        <v>507562.2</v>
      </c>
      <c r="F47" s="27">
        <f t="shared" si="2"/>
        <v>0</v>
      </c>
      <c r="G47" s="29"/>
      <c r="H47" s="85"/>
    </row>
    <row r="48" ht="15.75" customHeight="1">
      <c r="A48" s="29"/>
      <c r="B48" s="29"/>
      <c r="C48" s="58" t="s">
        <v>54</v>
      </c>
      <c r="D48" s="72"/>
      <c r="E48" s="27">
        <v>507562.2</v>
      </c>
      <c r="F48" s="27">
        <f t="shared" si="2"/>
        <v>0</v>
      </c>
      <c r="G48" s="29"/>
      <c r="H48" s="85"/>
    </row>
    <row r="49" ht="15.75" customHeight="1">
      <c r="A49" s="29"/>
      <c r="B49" s="49"/>
      <c r="C49" s="58" t="s">
        <v>55</v>
      </c>
      <c r="D49" s="20"/>
      <c r="E49" s="27">
        <v>507562.2</v>
      </c>
      <c r="F49" s="27">
        <f t="shared" si="2"/>
        <v>0</v>
      </c>
      <c r="G49" s="29"/>
      <c r="H49" s="85"/>
    </row>
    <row r="50" ht="15.75" customHeight="1">
      <c r="A50" s="29"/>
      <c r="B50" s="19" t="s">
        <v>71</v>
      </c>
      <c r="C50" s="19" t="s">
        <v>72</v>
      </c>
      <c r="D50" s="30"/>
      <c r="E50" s="27"/>
      <c r="F50" s="27">
        <f t="shared" si="2"/>
        <v>0</v>
      </c>
      <c r="G50" s="29"/>
      <c r="H50" s="85"/>
    </row>
    <row r="51" ht="15.75" customHeight="1">
      <c r="A51" s="29"/>
      <c r="B51" s="18"/>
      <c r="C51" s="19" t="s">
        <v>53</v>
      </c>
      <c r="D51" s="20"/>
      <c r="E51" s="27"/>
      <c r="F51" s="27">
        <f t="shared" si="2"/>
        <v>0</v>
      </c>
      <c r="G51" s="29"/>
      <c r="H51" s="85"/>
    </row>
    <row r="52" ht="15.75" customHeight="1">
      <c r="A52" s="29"/>
      <c r="B52" s="19"/>
      <c r="C52" s="19" t="s">
        <v>54</v>
      </c>
      <c r="D52" s="75"/>
      <c r="E52" s="27"/>
      <c r="F52" s="27">
        <f t="shared" si="2"/>
        <v>0</v>
      </c>
      <c r="G52" s="29"/>
    </row>
    <row r="53" ht="15.75" customHeight="1">
      <c r="A53" s="29"/>
      <c r="B53" s="18"/>
      <c r="C53" s="19" t="s">
        <v>55</v>
      </c>
      <c r="D53" s="20"/>
      <c r="E53" s="27"/>
      <c r="F53" s="27">
        <f t="shared" si="2"/>
        <v>0</v>
      </c>
      <c r="G53" s="29"/>
    </row>
    <row r="54" ht="15.75" customHeight="1">
      <c r="A54" s="29"/>
      <c r="B54" s="19" t="s">
        <v>73</v>
      </c>
      <c r="C54" s="19" t="s">
        <v>74</v>
      </c>
      <c r="D54" s="20"/>
      <c r="E54" s="27"/>
      <c r="F54" s="27">
        <f t="shared" si="2"/>
        <v>0</v>
      </c>
      <c r="G54" s="29"/>
    </row>
    <row r="55" ht="15.75" customHeight="1">
      <c r="A55" s="29"/>
      <c r="B55" s="18"/>
      <c r="C55" s="19" t="s">
        <v>53</v>
      </c>
      <c r="D55" s="20"/>
      <c r="E55" s="27"/>
      <c r="F55" s="27">
        <f t="shared" si="2"/>
        <v>0</v>
      </c>
      <c r="G55" s="29"/>
    </row>
    <row r="56" ht="15.75" customHeight="1">
      <c r="A56" s="29"/>
      <c r="B56" s="18"/>
      <c r="C56" s="19" t="s">
        <v>54</v>
      </c>
      <c r="D56" s="20"/>
      <c r="E56" s="27"/>
      <c r="F56" s="27">
        <f t="shared" si="2"/>
        <v>0</v>
      </c>
      <c r="G56" s="29"/>
    </row>
    <row r="57" ht="15.75" customHeight="1">
      <c r="A57" s="29"/>
      <c r="B57" s="18"/>
      <c r="C57" s="19" t="s">
        <v>55</v>
      </c>
      <c r="D57" s="20"/>
      <c r="E57" s="27"/>
      <c r="F57" s="27">
        <f t="shared" si="2"/>
        <v>0</v>
      </c>
      <c r="G57" s="29"/>
    </row>
    <row r="58" ht="15.75" customHeight="1">
      <c r="A58" s="53"/>
      <c r="B58" s="19" t="s">
        <v>75</v>
      </c>
      <c r="C58" s="19" t="s">
        <v>76</v>
      </c>
      <c r="D58" s="20"/>
      <c r="E58" s="27"/>
      <c r="F58" s="27">
        <f t="shared" si="2"/>
        <v>0</v>
      </c>
      <c r="G58" s="29"/>
    </row>
    <row r="59" ht="15.75" customHeight="1">
      <c r="A59" s="29"/>
      <c r="B59" s="42"/>
      <c r="C59" s="19" t="s">
        <v>53</v>
      </c>
      <c r="D59" s="78"/>
      <c r="E59" s="27"/>
      <c r="F59" s="27">
        <f t="shared" si="2"/>
        <v>0</v>
      </c>
      <c r="G59" s="49"/>
    </row>
    <row r="60" ht="15.75" customHeight="1">
      <c r="A60" s="29"/>
      <c r="B60" s="18"/>
      <c r="C60" s="19" t="s">
        <v>54</v>
      </c>
      <c r="D60" s="20"/>
      <c r="E60" s="27"/>
      <c r="F60" s="27">
        <f t="shared" si="2"/>
        <v>0</v>
      </c>
    </row>
    <row r="61" ht="15.75" customHeight="1">
      <c r="A61" s="29"/>
      <c r="B61" s="18"/>
      <c r="C61" s="19" t="s">
        <v>55</v>
      </c>
      <c r="D61" s="20"/>
      <c r="E61" s="27"/>
      <c r="F61" s="27">
        <f t="shared" si="2"/>
        <v>0</v>
      </c>
    </row>
    <row r="62" ht="15.75" customHeight="1">
      <c r="A62" s="29"/>
      <c r="B62" s="19" t="s">
        <v>77</v>
      </c>
      <c r="C62" s="19" t="s">
        <v>78</v>
      </c>
      <c r="D62" s="20"/>
      <c r="E62" s="27"/>
      <c r="F62" s="27">
        <f t="shared" si="2"/>
        <v>0</v>
      </c>
    </row>
    <row r="63" ht="15.75" customHeight="1">
      <c r="A63" s="29"/>
      <c r="B63" s="18"/>
      <c r="C63" s="19" t="s">
        <v>53</v>
      </c>
      <c r="D63" s="20"/>
      <c r="E63" s="27"/>
      <c r="F63" s="27">
        <f t="shared" si="2"/>
        <v>0</v>
      </c>
    </row>
    <row r="64" ht="15.75" customHeight="1">
      <c r="A64" s="29"/>
      <c r="B64" s="18"/>
      <c r="C64" s="19" t="s">
        <v>54</v>
      </c>
      <c r="D64" s="20"/>
      <c r="E64" s="27"/>
      <c r="F64" s="27">
        <f t="shared" si="2"/>
        <v>0</v>
      </c>
    </row>
    <row r="65" ht="15.75" customHeight="1">
      <c r="A65" s="29"/>
      <c r="B65" s="18"/>
      <c r="C65" s="19" t="s">
        <v>55</v>
      </c>
      <c r="D65" s="20"/>
      <c r="E65" s="27"/>
      <c r="F65" s="27">
        <f t="shared" si="2"/>
        <v>0</v>
      </c>
    </row>
    <row r="66" ht="15.75" customHeight="1">
      <c r="A66" s="29"/>
      <c r="B66" s="19" t="s">
        <v>79</v>
      </c>
      <c r="C66" s="18"/>
      <c r="D66" s="20"/>
      <c r="E66" s="27"/>
      <c r="F66" s="27">
        <f t="shared" si="2"/>
        <v>0</v>
      </c>
    </row>
    <row r="67" ht="15.75" customHeight="1">
      <c r="A67" s="29"/>
      <c r="B67" s="18"/>
      <c r="C67" s="19" t="s">
        <v>53</v>
      </c>
      <c r="D67" s="20"/>
      <c r="E67" s="27"/>
      <c r="F67" s="27">
        <f t="shared" si="2"/>
        <v>0</v>
      </c>
    </row>
    <row r="68" ht="15.75" customHeight="1">
      <c r="A68" s="29"/>
      <c r="B68" s="18"/>
      <c r="C68" s="19" t="s">
        <v>54</v>
      </c>
      <c r="D68" s="20"/>
      <c r="E68" s="27"/>
      <c r="F68" s="27">
        <f t="shared" si="2"/>
        <v>0</v>
      </c>
    </row>
    <row r="69" ht="15.75" customHeight="1">
      <c r="A69" s="29"/>
      <c r="B69" s="18"/>
      <c r="C69" s="19" t="s">
        <v>55</v>
      </c>
      <c r="D69" s="20"/>
      <c r="E69" s="27"/>
      <c r="F69" s="27">
        <f t="shared" si="2"/>
        <v>0</v>
      </c>
    </row>
    <row r="70" ht="15.75" customHeight="1">
      <c r="A70" s="29"/>
      <c r="B70" s="18"/>
      <c r="C70" s="18"/>
      <c r="D70" s="20"/>
      <c r="E70" s="27"/>
      <c r="F70" s="27">
        <f t="shared" si="2"/>
        <v>0</v>
      </c>
    </row>
    <row r="71" ht="15.75" customHeight="1">
      <c r="A71" s="29"/>
      <c r="B71" s="18"/>
      <c r="C71" s="18"/>
      <c r="D71" s="20"/>
      <c r="E71" s="27"/>
      <c r="F71" s="27">
        <f t="shared" si="2"/>
        <v>0</v>
      </c>
    </row>
    <row r="72" ht="15.75" customHeight="1">
      <c r="B72" s="18"/>
      <c r="C72" s="18"/>
      <c r="D72" s="20"/>
      <c r="E72" s="27"/>
      <c r="F72" s="27">
        <f t="shared" si="2"/>
        <v>0</v>
      </c>
    </row>
    <row r="73" ht="15.75" customHeight="1">
      <c r="B73" s="18"/>
      <c r="C73" s="18"/>
      <c r="D73" s="20"/>
      <c r="E73" s="27"/>
      <c r="F73" s="27">
        <f t="shared" si="2"/>
        <v>0</v>
      </c>
    </row>
    <row r="74" ht="15.75" customHeight="1">
      <c r="B74" s="18"/>
      <c r="C74" s="18"/>
      <c r="D74" s="20"/>
      <c r="E74" s="27"/>
      <c r="F74" s="27">
        <f t="shared" si="2"/>
        <v>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4">
    <mergeCell ref="G3:G13"/>
    <mergeCell ref="G14:G29"/>
    <mergeCell ref="G46:G59"/>
    <mergeCell ref="A30:A43"/>
    <mergeCell ref="A44:A57"/>
    <mergeCell ref="B46:B49"/>
    <mergeCell ref="A58:A71"/>
    <mergeCell ref="A1:D1"/>
    <mergeCell ref="E1:G1"/>
    <mergeCell ref="A3:A13"/>
    <mergeCell ref="B3:B6"/>
    <mergeCell ref="B8:B11"/>
    <mergeCell ref="A14:A29"/>
    <mergeCell ref="B14:B17"/>
  </mergeCells>
  <printOptions/>
  <pageMargins bottom="0.7480314960629921" footer="0.0" header="0.0" left="0.7086614173228347" right="0.7086614173228347" top="0.7480314960629921"/>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3.43"/>
    <col customWidth="1" min="2" max="2" width="24.71"/>
    <col customWidth="1" min="3" max="3" width="12.14"/>
    <col customWidth="1" min="4" max="4" width="13.86"/>
    <col customWidth="1" min="5" max="5" width="17.43"/>
    <col customWidth="1" min="6" max="6" width="13.71"/>
    <col customWidth="1" min="7" max="7" width="10.71"/>
    <col customWidth="1" min="8" max="8" width="16.29"/>
    <col customWidth="1" min="9" max="26" width="10.71"/>
  </cols>
  <sheetData>
    <row r="2">
      <c r="A2" s="90" t="s">
        <v>80</v>
      </c>
      <c r="B2" s="91">
        <v>0.02</v>
      </c>
      <c r="C2" s="92"/>
      <c r="D2" s="92"/>
      <c r="E2" s="93"/>
      <c r="F2" s="93"/>
      <c r="G2" s="93"/>
      <c r="H2" s="93"/>
    </row>
    <row r="3">
      <c r="A3" s="90" t="s">
        <v>81</v>
      </c>
      <c r="B3" s="94">
        <v>12.0</v>
      </c>
      <c r="C3" s="93"/>
      <c r="D3" s="93"/>
      <c r="E3" s="93"/>
      <c r="F3" s="93"/>
      <c r="G3" s="93"/>
      <c r="H3" s="93"/>
    </row>
    <row r="4">
      <c r="A4" s="90" t="s">
        <v>82</v>
      </c>
      <c r="B4" s="95">
        <v>0.08</v>
      </c>
      <c r="C4" s="93"/>
      <c r="D4" s="93"/>
      <c r="E4" s="93"/>
      <c r="F4" s="93"/>
      <c r="G4" s="93"/>
      <c r="H4" s="93"/>
    </row>
    <row r="5">
      <c r="A5" s="90" t="s">
        <v>83</v>
      </c>
      <c r="B5" s="94">
        <v>160.0</v>
      </c>
      <c r="C5" s="96"/>
      <c r="D5" s="93"/>
      <c r="E5" s="93"/>
      <c r="F5" s="93"/>
      <c r="G5" s="93"/>
      <c r="H5" s="93"/>
    </row>
    <row r="6">
      <c r="A6" s="93"/>
      <c r="B6" s="93"/>
      <c r="C6" s="93"/>
      <c r="D6" s="93"/>
      <c r="E6" s="93"/>
      <c r="F6" s="93"/>
      <c r="G6" s="93"/>
      <c r="H6" s="93"/>
    </row>
    <row r="7">
      <c r="A7" s="97" t="s">
        <v>84</v>
      </c>
      <c r="B7" s="98"/>
      <c r="C7" s="98"/>
      <c r="D7" s="98"/>
      <c r="E7" s="98"/>
      <c r="F7" s="98"/>
      <c r="G7" s="98"/>
      <c r="H7" s="99"/>
    </row>
    <row r="8">
      <c r="A8" s="100" t="s">
        <v>85</v>
      </c>
      <c r="B8" s="101"/>
      <c r="C8" s="101"/>
      <c r="D8" s="101"/>
      <c r="E8" s="101"/>
      <c r="F8" s="101"/>
      <c r="G8" s="101"/>
      <c r="H8" s="102"/>
    </row>
    <row r="9">
      <c r="A9" s="103" t="s">
        <v>86</v>
      </c>
      <c r="B9" s="104" t="s">
        <v>87</v>
      </c>
      <c r="C9" s="104" t="s">
        <v>88</v>
      </c>
      <c r="D9" s="104" t="s">
        <v>89</v>
      </c>
      <c r="E9" s="104" t="s">
        <v>90</v>
      </c>
      <c r="F9" s="104" t="s">
        <v>91</v>
      </c>
      <c r="G9" s="105" t="s">
        <v>92</v>
      </c>
      <c r="H9" s="106" t="s">
        <v>93</v>
      </c>
    </row>
    <row r="10">
      <c r="A10" s="107" t="s">
        <v>94</v>
      </c>
      <c r="B10" s="108">
        <v>2.0</v>
      </c>
      <c r="C10" s="109">
        <v>4000000.0</v>
      </c>
      <c r="D10" s="110">
        <v>400000.0</v>
      </c>
      <c r="E10" s="111">
        <v>1200880.0</v>
      </c>
      <c r="F10" s="112">
        <f t="shared" ref="F10:F14" si="1">C10+D10+E10</f>
        <v>5600880</v>
      </c>
      <c r="G10" s="113">
        <f t="shared" ref="G10:G14" si="2">C10/160</f>
        <v>25000</v>
      </c>
      <c r="H10" s="114">
        <f t="shared" ref="H10:H14" si="3">F10*B10</f>
        <v>11201760</v>
      </c>
    </row>
    <row r="11">
      <c r="A11" s="107" t="s">
        <v>95</v>
      </c>
      <c r="B11" s="115">
        <v>1.0</v>
      </c>
      <c r="C11" s="109">
        <v>1.2E7</v>
      </c>
      <c r="D11" s="110">
        <v>600000.0</v>
      </c>
      <c r="E11" s="111">
        <v>3602640.0</v>
      </c>
      <c r="F11" s="112">
        <f t="shared" si="1"/>
        <v>16202640</v>
      </c>
      <c r="G11" s="113">
        <f t="shared" si="2"/>
        <v>75000</v>
      </c>
      <c r="H11" s="114">
        <f t="shared" si="3"/>
        <v>16202640</v>
      </c>
    </row>
    <row r="12">
      <c r="A12" s="107" t="s">
        <v>96</v>
      </c>
      <c r="B12" s="115">
        <v>1.0</v>
      </c>
      <c r="C12" s="109">
        <v>4800000.0</v>
      </c>
      <c r="D12" s="110">
        <v>480000.0</v>
      </c>
      <c r="E12" s="111">
        <v>1441056.0</v>
      </c>
      <c r="F12" s="112">
        <f t="shared" si="1"/>
        <v>6721056</v>
      </c>
      <c r="G12" s="113">
        <f t="shared" si="2"/>
        <v>30000</v>
      </c>
      <c r="H12" s="114">
        <f t="shared" si="3"/>
        <v>6721056</v>
      </c>
    </row>
    <row r="13">
      <c r="A13" s="116" t="s">
        <v>97</v>
      </c>
      <c r="B13" s="117">
        <v>1.0</v>
      </c>
      <c r="C13" s="109">
        <v>3500000.0</v>
      </c>
      <c r="D13" s="110">
        <v>400000.0</v>
      </c>
      <c r="E13" s="111">
        <v>1050770.0</v>
      </c>
      <c r="F13" s="112">
        <f t="shared" si="1"/>
        <v>4950770</v>
      </c>
      <c r="G13" s="113">
        <f t="shared" si="2"/>
        <v>21875</v>
      </c>
      <c r="H13" s="114">
        <f t="shared" si="3"/>
        <v>4950770</v>
      </c>
    </row>
    <row r="14">
      <c r="A14" s="116" t="s">
        <v>24</v>
      </c>
      <c r="B14" s="115">
        <v>1.0</v>
      </c>
      <c r="C14" s="109">
        <v>4000000.0</v>
      </c>
      <c r="D14" s="118">
        <v>100000.0</v>
      </c>
      <c r="E14" s="111">
        <v>1200880.0</v>
      </c>
      <c r="F14" s="112">
        <f t="shared" si="1"/>
        <v>5300880</v>
      </c>
      <c r="G14" s="113">
        <f t="shared" si="2"/>
        <v>25000</v>
      </c>
      <c r="H14" s="114">
        <f t="shared" si="3"/>
        <v>5300880</v>
      </c>
    </row>
    <row r="15">
      <c r="A15" s="107"/>
      <c r="B15" s="115"/>
      <c r="C15" s="119"/>
      <c r="D15" s="110"/>
      <c r="E15" s="112"/>
      <c r="F15" s="112"/>
      <c r="G15" s="113"/>
      <c r="H15" s="114"/>
    </row>
    <row r="16">
      <c r="A16" s="107"/>
      <c r="B16" s="115"/>
      <c r="C16" s="119"/>
      <c r="D16" s="118"/>
      <c r="E16" s="112"/>
      <c r="F16" s="112"/>
      <c r="G16" s="113"/>
      <c r="H16" s="114"/>
    </row>
    <row r="17">
      <c r="A17" s="120"/>
      <c r="B17" s="121"/>
      <c r="C17" s="122"/>
      <c r="D17" s="122" t="s">
        <v>98</v>
      </c>
      <c r="E17" s="112"/>
      <c r="F17" s="112"/>
      <c r="G17" s="113"/>
      <c r="H17" s="114"/>
    </row>
    <row r="18">
      <c r="A18" s="120"/>
      <c r="B18" s="121"/>
      <c r="C18" s="122"/>
      <c r="D18" s="122"/>
      <c r="E18" s="112"/>
      <c r="F18" s="112"/>
      <c r="G18" s="113"/>
      <c r="H18" s="114"/>
    </row>
    <row r="19" ht="15.75" customHeight="1">
      <c r="A19" s="120"/>
      <c r="B19" s="115"/>
      <c r="C19" s="122"/>
      <c r="D19" s="122"/>
      <c r="E19" s="112"/>
      <c r="F19" s="112"/>
      <c r="G19" s="113"/>
      <c r="H19" s="114"/>
    </row>
    <row r="20" ht="15.75" customHeight="1">
      <c r="A20" s="120"/>
      <c r="B20" s="123"/>
      <c r="C20" s="112"/>
      <c r="D20" s="112"/>
      <c r="E20" s="112"/>
      <c r="F20" s="112"/>
      <c r="G20" s="113"/>
      <c r="H20" s="114"/>
    </row>
    <row r="21" ht="15.75" customHeight="1">
      <c r="A21" s="124"/>
      <c r="B21" s="123"/>
      <c r="C21" s="112"/>
      <c r="D21" s="112"/>
      <c r="E21" s="112"/>
      <c r="F21" s="112"/>
      <c r="G21" s="113"/>
      <c r="H21" s="114"/>
    </row>
    <row r="22" ht="15.75" customHeight="1">
      <c r="A22" s="124"/>
      <c r="B22" s="123"/>
      <c r="C22" s="112"/>
      <c r="D22" s="112"/>
      <c r="E22" s="112"/>
      <c r="F22" s="112"/>
      <c r="G22" s="113"/>
      <c r="H22" s="114"/>
    </row>
    <row r="23" ht="15.75" customHeight="1">
      <c r="A23" s="124"/>
      <c r="B23" s="123"/>
      <c r="C23" s="112"/>
      <c r="D23" s="112"/>
      <c r="E23" s="112"/>
      <c r="F23" s="112"/>
      <c r="G23" s="113"/>
      <c r="H23" s="114"/>
    </row>
    <row r="24" ht="15.75" customHeight="1">
      <c r="A24" s="124"/>
      <c r="B24" s="123"/>
      <c r="C24" s="112"/>
      <c r="D24" s="112"/>
      <c r="E24" s="112"/>
      <c r="F24" s="112"/>
      <c r="G24" s="113"/>
      <c r="H24" s="114"/>
    </row>
    <row r="25" ht="15.75" customHeight="1">
      <c r="A25" s="124"/>
      <c r="B25" s="123"/>
      <c r="C25" s="112"/>
      <c r="D25" s="112"/>
      <c r="E25" s="112"/>
      <c r="F25" s="112"/>
      <c r="G25" s="113"/>
      <c r="H25" s="114"/>
    </row>
    <row r="26" ht="15.75" customHeight="1">
      <c r="A26" s="125" t="s">
        <v>99</v>
      </c>
      <c r="B26" s="126">
        <f>SUM(B10:B25)</f>
        <v>6</v>
      </c>
      <c r="C26" s="127"/>
      <c r="D26" s="127"/>
      <c r="E26" s="128"/>
      <c r="F26" s="129" t="s">
        <v>100</v>
      </c>
      <c r="G26" s="130"/>
      <c r="H26" s="131">
        <f>SUM(H10:H14)</f>
        <v>44377106</v>
      </c>
    </row>
    <row r="27" ht="15.75" customHeight="1">
      <c r="A27" s="93"/>
      <c r="B27" s="93"/>
      <c r="C27" s="93"/>
      <c r="D27" s="93"/>
      <c r="E27" s="132" t="s">
        <v>101</v>
      </c>
      <c r="F27" s="129"/>
      <c r="G27" s="133"/>
      <c r="H27" s="131">
        <f>H26*B3</f>
        <v>532525272</v>
      </c>
    </row>
    <row r="28" ht="15.75" customHeight="1">
      <c r="A28" s="93"/>
      <c r="B28" s="93"/>
      <c r="C28" s="93"/>
      <c r="D28" s="93"/>
      <c r="E28" s="93"/>
      <c r="F28" s="93"/>
      <c r="G28" s="93"/>
      <c r="H28" s="93"/>
    </row>
    <row r="29" ht="15.75" customHeight="1">
      <c r="A29" s="93"/>
      <c r="B29" s="93"/>
      <c r="C29" s="93"/>
      <c r="D29" s="93"/>
      <c r="E29" s="93"/>
      <c r="F29" s="93"/>
      <c r="G29" s="93"/>
      <c r="H29" s="93"/>
    </row>
    <row r="30" ht="15.75" customHeight="1">
      <c r="A30" s="93"/>
      <c r="B30" s="93"/>
      <c r="C30" s="93"/>
      <c r="D30" s="93"/>
      <c r="E30" s="93"/>
      <c r="F30" s="93"/>
      <c r="G30" s="93"/>
      <c r="H30" s="93"/>
    </row>
    <row r="31" ht="15.75" customHeight="1">
      <c r="A31" s="134" t="s">
        <v>102</v>
      </c>
      <c r="B31" s="135"/>
      <c r="C31" s="135"/>
      <c r="D31" s="135"/>
      <c r="E31" s="136"/>
      <c r="F31" s="93"/>
      <c r="G31" s="93"/>
      <c r="H31" s="93"/>
    </row>
    <row r="32" ht="34.5" customHeight="1">
      <c r="A32" s="137" t="s">
        <v>103</v>
      </c>
      <c r="B32" s="138" t="s">
        <v>104</v>
      </c>
      <c r="C32" s="139" t="s">
        <v>87</v>
      </c>
      <c r="D32" s="138" t="s">
        <v>105</v>
      </c>
      <c r="E32" s="138" t="s">
        <v>106</v>
      </c>
      <c r="F32" s="93"/>
      <c r="G32" s="93"/>
      <c r="H32" s="93"/>
    </row>
    <row r="33" ht="15.75" customHeight="1">
      <c r="A33" s="140" t="s">
        <v>107</v>
      </c>
      <c r="B33" s="141" t="s">
        <v>108</v>
      </c>
      <c r="C33" s="141">
        <v>12.0</v>
      </c>
      <c r="D33" s="141">
        <v>300000.0</v>
      </c>
      <c r="E33" s="142">
        <f t="shared" ref="E33:E42" si="4">C33*D33</f>
        <v>3600000</v>
      </c>
      <c r="F33" s="93"/>
      <c r="G33" s="93"/>
      <c r="H33" s="93"/>
      <c r="I33" s="143"/>
      <c r="J33" s="143"/>
    </row>
    <row r="34" ht="15.75" customHeight="1">
      <c r="A34" s="144" t="s">
        <v>109</v>
      </c>
      <c r="B34" s="141" t="s">
        <v>108</v>
      </c>
      <c r="C34" s="141">
        <v>12.0</v>
      </c>
      <c r="D34" s="141">
        <v>1000000.0</v>
      </c>
      <c r="E34" s="142">
        <f t="shared" si="4"/>
        <v>12000000</v>
      </c>
      <c r="F34" s="93"/>
      <c r="G34" s="93"/>
      <c r="H34" s="93"/>
      <c r="I34" s="93"/>
      <c r="J34" s="93"/>
    </row>
    <row r="35" ht="15.75" customHeight="1">
      <c r="A35" s="144" t="s">
        <v>110</v>
      </c>
      <c r="B35" s="141" t="s">
        <v>108</v>
      </c>
      <c r="C35" s="145">
        <v>1.0</v>
      </c>
      <c r="D35" s="141">
        <v>6000000.0</v>
      </c>
      <c r="E35" s="142">
        <f t="shared" si="4"/>
        <v>6000000</v>
      </c>
      <c r="F35" s="93"/>
      <c r="G35" s="93"/>
      <c r="H35" s="93"/>
    </row>
    <row r="36" ht="15.75" customHeight="1">
      <c r="A36" s="146"/>
      <c r="B36" s="141"/>
      <c r="C36" s="147"/>
      <c r="D36" s="147"/>
      <c r="E36" s="142">
        <f t="shared" si="4"/>
        <v>0</v>
      </c>
      <c r="F36" s="93"/>
      <c r="G36" s="93"/>
      <c r="H36" s="93"/>
    </row>
    <row r="37" ht="15.75" customHeight="1">
      <c r="A37" s="146"/>
      <c r="B37" s="147" t="s">
        <v>98</v>
      </c>
      <c r="C37" s="148"/>
      <c r="D37" s="147"/>
      <c r="E37" s="142">
        <f t="shared" si="4"/>
        <v>0</v>
      </c>
      <c r="F37" s="93"/>
      <c r="G37" s="93"/>
      <c r="H37" s="93"/>
    </row>
    <row r="38" ht="15.75" customHeight="1">
      <c r="A38" s="146"/>
      <c r="B38" s="147" t="s">
        <v>98</v>
      </c>
      <c r="C38" s="147"/>
      <c r="D38" s="147"/>
      <c r="E38" s="142">
        <f t="shared" si="4"/>
        <v>0</v>
      </c>
      <c r="F38" s="93"/>
      <c r="G38" s="93"/>
      <c r="H38" s="93"/>
    </row>
    <row r="39" ht="15.75" customHeight="1">
      <c r="A39" s="146"/>
      <c r="B39" s="147" t="s">
        <v>98</v>
      </c>
      <c r="C39" s="147"/>
      <c r="D39" s="147"/>
      <c r="E39" s="142">
        <f t="shared" si="4"/>
        <v>0</v>
      </c>
      <c r="F39" s="93"/>
      <c r="G39" s="93"/>
      <c r="H39" s="93"/>
    </row>
    <row r="40" ht="15.75" customHeight="1">
      <c r="A40" s="146"/>
      <c r="B40" s="147" t="s">
        <v>98</v>
      </c>
      <c r="C40" s="147"/>
      <c r="D40" s="147"/>
      <c r="E40" s="142">
        <f t="shared" si="4"/>
        <v>0</v>
      </c>
      <c r="F40" s="93"/>
      <c r="G40" s="93"/>
      <c r="H40" s="93"/>
    </row>
    <row r="41" ht="15.75" customHeight="1">
      <c r="A41" s="146"/>
      <c r="B41" s="147" t="s">
        <v>98</v>
      </c>
      <c r="C41" s="147"/>
      <c r="D41" s="147"/>
      <c r="E41" s="142">
        <f t="shared" si="4"/>
        <v>0</v>
      </c>
      <c r="F41" s="93"/>
      <c r="G41" s="93"/>
      <c r="H41" s="93"/>
    </row>
    <row r="42" ht="15.75" customHeight="1">
      <c r="A42" s="146"/>
      <c r="B42" s="147" t="s">
        <v>98</v>
      </c>
      <c r="C42" s="127"/>
      <c r="D42" s="127"/>
      <c r="E42" s="142">
        <f t="shared" si="4"/>
        <v>0</v>
      </c>
      <c r="F42" s="93"/>
      <c r="G42" s="93"/>
      <c r="H42" s="93"/>
    </row>
    <row r="43" ht="15.75" customHeight="1">
      <c r="A43" s="149"/>
      <c r="B43" s="150"/>
      <c r="C43" s="150"/>
      <c r="D43" s="151" t="s">
        <v>111</v>
      </c>
      <c r="E43" s="152">
        <f>SUM(E33:E42)</f>
        <v>21600000</v>
      </c>
      <c r="F43" s="93"/>
      <c r="G43" s="93"/>
      <c r="H43" s="93"/>
    </row>
    <row r="44" ht="15.75" customHeight="1">
      <c r="A44" s="93"/>
      <c r="B44" s="93"/>
      <c r="C44" s="93"/>
      <c r="D44" s="93"/>
      <c r="E44" s="93"/>
      <c r="F44" s="93"/>
      <c r="G44" s="93"/>
      <c r="H44" s="93"/>
    </row>
    <row r="45" ht="7.5" customHeight="1">
      <c r="A45" s="93"/>
      <c r="B45" s="93"/>
      <c r="C45" s="93"/>
      <c r="D45" s="93"/>
      <c r="E45" s="93"/>
      <c r="F45" s="93"/>
      <c r="G45" s="93"/>
      <c r="H45" s="93"/>
    </row>
    <row r="46" ht="15.75" customHeight="1">
      <c r="C46" s="93"/>
      <c r="D46" s="93"/>
      <c r="E46" s="93"/>
      <c r="F46" s="93"/>
      <c r="G46" s="93"/>
      <c r="H46" s="93"/>
    </row>
    <row r="47" ht="15.75" customHeight="1">
      <c r="A47" s="153" t="s">
        <v>112</v>
      </c>
      <c r="B47" s="153" t="s">
        <v>113</v>
      </c>
      <c r="C47" s="93"/>
      <c r="D47" s="93"/>
      <c r="E47" s="93"/>
      <c r="F47" s="93"/>
      <c r="G47" s="93"/>
      <c r="H47" s="93"/>
    </row>
    <row r="48" ht="15.75" customHeight="1">
      <c r="A48" s="140" t="s">
        <v>107</v>
      </c>
      <c r="B48" s="24">
        <f t="shared" ref="B48:B51" si="5">E33*0.1</f>
        <v>360000</v>
      </c>
      <c r="C48" s="93"/>
      <c r="D48" s="93"/>
      <c r="E48" s="93"/>
      <c r="F48" s="93"/>
      <c r="G48" s="93"/>
      <c r="H48" s="93"/>
    </row>
    <row r="49" ht="15.75" customHeight="1">
      <c r="A49" s="144" t="s">
        <v>109</v>
      </c>
      <c r="B49" s="24">
        <f t="shared" si="5"/>
        <v>1200000</v>
      </c>
      <c r="C49" s="93"/>
      <c r="D49" s="93"/>
      <c r="E49" s="93"/>
      <c r="F49" s="93"/>
      <c r="G49" s="93"/>
      <c r="H49" s="93"/>
    </row>
    <row r="50" ht="15.75" customHeight="1">
      <c r="A50" s="144" t="s">
        <v>110</v>
      </c>
      <c r="B50" s="24">
        <f t="shared" si="5"/>
        <v>600000</v>
      </c>
      <c r="C50" s="93"/>
      <c r="D50" s="93"/>
      <c r="E50" s="93"/>
      <c r="F50" s="93"/>
      <c r="G50" s="93"/>
      <c r="H50" s="93"/>
    </row>
    <row r="51" ht="15.75" customHeight="1">
      <c r="A51" s="24"/>
      <c r="B51" s="24">
        <f t="shared" si="5"/>
        <v>0</v>
      </c>
      <c r="C51" s="93"/>
      <c r="D51" s="93"/>
      <c r="E51" s="93"/>
      <c r="F51" s="93"/>
      <c r="G51" s="93"/>
      <c r="H51" s="93"/>
    </row>
    <row r="52" ht="15.75" customHeight="1">
      <c r="A52" s="154" t="s">
        <v>114</v>
      </c>
      <c r="B52" s="154">
        <f>SUM(B48:B51)</f>
        <v>2160000</v>
      </c>
      <c r="C52" s="93"/>
      <c r="D52" s="93"/>
      <c r="E52" s="93"/>
      <c r="F52" s="93"/>
      <c r="G52" s="93"/>
      <c r="H52" s="93"/>
    </row>
    <row r="53" ht="15.75" customHeight="1">
      <c r="C53" s="93"/>
      <c r="D53" s="93"/>
      <c r="E53" s="93"/>
      <c r="F53" s="93"/>
      <c r="G53" s="93"/>
      <c r="H53" s="93"/>
    </row>
    <row r="54" ht="15.75" customHeight="1">
      <c r="A54" s="155" t="s">
        <v>115</v>
      </c>
      <c r="B54" s="156">
        <f>H27</f>
        <v>532525272</v>
      </c>
      <c r="C54" s="93"/>
      <c r="D54" s="93"/>
      <c r="E54" s="93"/>
      <c r="F54" s="93"/>
      <c r="G54" s="93"/>
      <c r="H54" s="93"/>
    </row>
    <row r="55" ht="15.75" customHeight="1">
      <c r="A55" s="155" t="s">
        <v>102</v>
      </c>
      <c r="B55" s="157">
        <f>E43</f>
        <v>21600000</v>
      </c>
      <c r="C55" s="93"/>
      <c r="D55" s="93"/>
      <c r="E55" s="93"/>
      <c r="F55" s="93"/>
      <c r="G55" s="93"/>
      <c r="H55" s="93"/>
    </row>
    <row r="56" ht="15.75" customHeight="1">
      <c r="A56" s="158" t="s">
        <v>116</v>
      </c>
      <c r="B56" s="158">
        <f>B52</f>
        <v>2160000</v>
      </c>
      <c r="C56" s="93"/>
      <c r="D56" s="93"/>
      <c r="E56" s="93"/>
      <c r="F56" s="93"/>
      <c r="G56" s="93"/>
      <c r="H56" s="93"/>
    </row>
    <row r="57" ht="15.75" customHeight="1">
      <c r="A57" s="159" t="s">
        <v>117</v>
      </c>
      <c r="B57" s="160">
        <f>(B54+B55+B56)*B4</f>
        <v>44502821.76</v>
      </c>
      <c r="C57" s="93"/>
      <c r="D57" s="93"/>
      <c r="E57" s="93"/>
      <c r="F57" s="93"/>
      <c r="G57" s="93"/>
      <c r="H57" s="93"/>
    </row>
    <row r="58" ht="15.75" customHeight="1">
      <c r="A58" s="161" t="s">
        <v>118</v>
      </c>
      <c r="B58" s="162">
        <f>(B54+B55+B56)*0.1</f>
        <v>55628527.2</v>
      </c>
      <c r="C58" s="93"/>
      <c r="D58" s="93"/>
      <c r="E58" s="93"/>
      <c r="F58" s="93"/>
      <c r="G58" s="93"/>
      <c r="H58" s="93"/>
    </row>
    <row r="59" ht="15.75" customHeight="1">
      <c r="A59" s="163" t="s">
        <v>119</v>
      </c>
      <c r="B59" s="164">
        <f>SUM(B54:B57)</f>
        <v>600788093.8</v>
      </c>
      <c r="C59" s="93"/>
      <c r="D59" s="93"/>
      <c r="E59" s="93"/>
      <c r="F59" s="93"/>
      <c r="G59" s="93"/>
      <c r="H59" s="93"/>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c r="C69" s="165"/>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c r="C90" s="165"/>
    </row>
    <row r="91" ht="15.75" customHeight="1">
      <c r="C91" s="165"/>
    </row>
    <row r="92" ht="15.75" customHeight="1">
      <c r="C92" s="165"/>
    </row>
    <row r="93" ht="15.75" customHeight="1">
      <c r="C93" s="165"/>
    </row>
    <row r="94" ht="15.75" customHeight="1">
      <c r="C94" s="165"/>
    </row>
    <row r="95" ht="15.75" customHeight="1">
      <c r="C95" s="165"/>
    </row>
    <row r="96" ht="15.75" customHeight="1">
      <c r="C96" s="165"/>
    </row>
    <row r="97" ht="15.75" customHeight="1">
      <c r="C97" s="165"/>
    </row>
    <row r="98" ht="15.75" customHeight="1">
      <c r="C98" s="165"/>
    </row>
    <row r="99" ht="15.75" customHeight="1">
      <c r="C99" s="165"/>
    </row>
    <row r="100" ht="15.75" customHeight="1">
      <c r="C100" s="165"/>
    </row>
    <row r="101" ht="15.75" customHeight="1">
      <c r="C101" s="165"/>
    </row>
    <row r="102" ht="15.75" customHeight="1">
      <c r="C102" s="165"/>
    </row>
    <row r="103" ht="15.75" customHeight="1">
      <c r="C103" s="165"/>
    </row>
    <row r="104" ht="15.75" customHeight="1">
      <c r="C104" s="165"/>
    </row>
    <row r="105" ht="15.75" customHeight="1">
      <c r="C105" s="165"/>
    </row>
    <row r="106" ht="15.75" customHeight="1">
      <c r="C106" s="165"/>
    </row>
    <row r="107" ht="15.75" customHeight="1">
      <c r="C107" s="165"/>
    </row>
    <row r="108" ht="15.75" customHeight="1">
      <c r="C108" s="165"/>
    </row>
    <row r="109" ht="15.75" customHeight="1">
      <c r="C109" s="165"/>
    </row>
    <row r="110" ht="15.75" customHeight="1">
      <c r="C110" s="165"/>
    </row>
    <row r="111" ht="15.75" customHeight="1">
      <c r="C111" s="165"/>
    </row>
    <row r="112" ht="15.75" customHeight="1">
      <c r="C112" s="165"/>
    </row>
    <row r="113" ht="15.75" customHeight="1">
      <c r="C113" s="165"/>
    </row>
    <row r="114" ht="15.75" customHeight="1">
      <c r="C114" s="165"/>
    </row>
    <row r="115" ht="15.75" customHeight="1">
      <c r="C115" s="165"/>
    </row>
    <row r="116" ht="15.75" customHeight="1">
      <c r="C116" s="165"/>
    </row>
    <row r="117" ht="15.75" customHeight="1">
      <c r="C117" s="165"/>
    </row>
    <row r="118" ht="15.75" customHeight="1">
      <c r="C118" s="165"/>
    </row>
    <row r="119" ht="15.75" customHeight="1">
      <c r="C119" s="165"/>
    </row>
    <row r="120" ht="15.75" customHeight="1">
      <c r="C120" s="165"/>
    </row>
    <row r="121" ht="15.75" customHeight="1">
      <c r="C121" s="165"/>
    </row>
    <row r="122" ht="15.75" customHeight="1">
      <c r="C122" s="165"/>
    </row>
    <row r="123" ht="15.75" customHeight="1">
      <c r="C123" s="165"/>
    </row>
    <row r="124" ht="15.75" customHeight="1">
      <c r="C124" s="165"/>
    </row>
    <row r="125" ht="15.75" customHeight="1">
      <c r="C125" s="165"/>
    </row>
    <row r="126" ht="15.75" customHeight="1">
      <c r="C126" s="165"/>
    </row>
    <row r="127" ht="15.75" customHeight="1">
      <c r="C127" s="165"/>
    </row>
    <row r="128" ht="15.75" customHeight="1">
      <c r="C128" s="165"/>
    </row>
    <row r="129" ht="15.75" customHeight="1">
      <c r="C129" s="165"/>
    </row>
    <row r="130" ht="15.75" customHeight="1">
      <c r="C130" s="165"/>
    </row>
    <row r="131" ht="15.75" customHeight="1">
      <c r="C131" s="165"/>
    </row>
    <row r="132" ht="15.75" customHeight="1">
      <c r="C132" s="165"/>
    </row>
    <row r="133" ht="15.75" customHeight="1">
      <c r="C133" s="165"/>
    </row>
    <row r="134" ht="15.75" customHeight="1">
      <c r="C134" s="165"/>
    </row>
    <row r="135" ht="15.75" customHeight="1">
      <c r="C135" s="165"/>
    </row>
    <row r="136" ht="15.75" customHeight="1">
      <c r="C136" s="165"/>
    </row>
    <row r="137" ht="15.75" customHeight="1">
      <c r="C137" s="165"/>
    </row>
    <row r="138" ht="15.75" customHeight="1">
      <c r="C138" s="165"/>
    </row>
    <row r="139" ht="15.75" customHeight="1">
      <c r="C139" s="165"/>
    </row>
    <row r="140" ht="15.75" customHeight="1">
      <c r="C140" s="165"/>
    </row>
    <row r="141" ht="15.75" customHeight="1">
      <c r="C141" s="165"/>
    </row>
    <row r="142" ht="15.75" customHeight="1">
      <c r="C142" s="165"/>
    </row>
    <row r="143" ht="15.75" customHeight="1">
      <c r="C143" s="165"/>
    </row>
    <row r="144" ht="15.75" customHeight="1">
      <c r="C144" s="165"/>
    </row>
    <row r="145" ht="15.75" customHeight="1">
      <c r="C145" s="165"/>
    </row>
    <row r="146" ht="15.75" customHeight="1">
      <c r="C146" s="165"/>
    </row>
    <row r="147" ht="15.75" customHeight="1">
      <c r="C147" s="165"/>
    </row>
    <row r="148" ht="15.75" customHeight="1">
      <c r="C148" s="165"/>
    </row>
    <row r="149" ht="15.75" customHeight="1">
      <c r="C149" s="165"/>
    </row>
    <row r="150" ht="15.75" customHeight="1">
      <c r="C150" s="165"/>
    </row>
    <row r="151" ht="15.75" customHeight="1">
      <c r="C151" s="165"/>
    </row>
    <row r="152" ht="15.75" customHeight="1">
      <c r="C152" s="165"/>
    </row>
    <row r="153" ht="15.75" customHeight="1">
      <c r="C153" s="165"/>
    </row>
    <row r="154" ht="15.75" customHeight="1">
      <c r="C154" s="165"/>
    </row>
    <row r="155" ht="15.75" customHeight="1">
      <c r="C155" s="165"/>
    </row>
    <row r="156" ht="15.75" customHeight="1">
      <c r="C156" s="165"/>
    </row>
    <row r="157" ht="15.75" customHeight="1">
      <c r="C157" s="165"/>
    </row>
    <row r="158" ht="15.75" customHeight="1">
      <c r="C158" s="165"/>
    </row>
    <row r="159" ht="15.75" customHeight="1">
      <c r="C159" s="165"/>
    </row>
    <row r="160" ht="15.75" customHeight="1">
      <c r="C160" s="165"/>
    </row>
    <row r="161" ht="15.75" customHeight="1">
      <c r="C161" s="165"/>
    </row>
    <row r="162" ht="15.75" customHeight="1">
      <c r="C162" s="165"/>
    </row>
    <row r="163" ht="15.75" customHeight="1">
      <c r="C163" s="165"/>
    </row>
    <row r="164" ht="15.75" customHeight="1">
      <c r="C164" s="165"/>
    </row>
    <row r="165" ht="15.75" customHeight="1">
      <c r="C165" s="165"/>
    </row>
    <row r="166" ht="15.75" customHeight="1">
      <c r="C166" s="165"/>
    </row>
    <row r="167" ht="15.75" customHeight="1">
      <c r="C167" s="165"/>
    </row>
    <row r="168" ht="15.75" customHeight="1">
      <c r="C168" s="165"/>
    </row>
    <row r="169" ht="15.75" customHeight="1">
      <c r="C169" s="165"/>
    </row>
    <row r="170" ht="15.75" customHeight="1">
      <c r="C170" s="165"/>
    </row>
    <row r="171" ht="15.75" customHeight="1">
      <c r="C171" s="165"/>
    </row>
    <row r="172" ht="15.75" customHeight="1">
      <c r="C172" s="165"/>
    </row>
    <row r="173" ht="15.75" customHeight="1">
      <c r="C173" s="165"/>
    </row>
    <row r="174" ht="15.75" customHeight="1">
      <c r="C174" s="165"/>
    </row>
    <row r="175" ht="15.75" customHeight="1">
      <c r="C175" s="165"/>
    </row>
    <row r="176" ht="15.75" customHeight="1">
      <c r="C176" s="165"/>
    </row>
    <row r="177" ht="15.75" customHeight="1">
      <c r="C177" s="165"/>
    </row>
    <row r="178" ht="15.75" customHeight="1">
      <c r="C178" s="165"/>
    </row>
    <row r="179" ht="15.75" customHeight="1">
      <c r="C179" s="165"/>
    </row>
    <row r="180" ht="15.75" customHeight="1">
      <c r="C180" s="165"/>
    </row>
    <row r="181" ht="15.75" customHeight="1">
      <c r="C181" s="165"/>
    </row>
    <row r="182" ht="15.75" customHeight="1">
      <c r="C182" s="165"/>
    </row>
    <row r="183" ht="15.75" customHeight="1">
      <c r="C183" s="165"/>
    </row>
    <row r="184" ht="15.75" customHeight="1">
      <c r="C184" s="165"/>
    </row>
    <row r="185" ht="15.75" customHeight="1">
      <c r="C185" s="165"/>
    </row>
    <row r="186" ht="15.75" customHeight="1">
      <c r="C186" s="165"/>
    </row>
    <row r="187" ht="15.75" customHeight="1">
      <c r="C187" s="165"/>
    </row>
    <row r="188" ht="15.75" customHeight="1">
      <c r="C188" s="165"/>
    </row>
    <row r="189" ht="15.75" customHeight="1">
      <c r="C189" s="165"/>
    </row>
    <row r="190" ht="15.75" customHeight="1">
      <c r="C190" s="165"/>
    </row>
    <row r="191" ht="15.75" customHeight="1">
      <c r="C191" s="165"/>
    </row>
    <row r="192" ht="15.75" customHeight="1">
      <c r="C192" s="165"/>
    </row>
    <row r="193" ht="15.75" customHeight="1">
      <c r="C193" s="165"/>
    </row>
    <row r="194" ht="15.75" customHeight="1">
      <c r="C194" s="165"/>
    </row>
    <row r="195" ht="15.75" customHeight="1">
      <c r="C195" s="165"/>
    </row>
    <row r="196" ht="15.75" customHeight="1">
      <c r="C196" s="165"/>
    </row>
    <row r="197" ht="15.75" customHeight="1">
      <c r="C197" s="165"/>
    </row>
    <row r="198" ht="15.75" customHeight="1">
      <c r="C198" s="165"/>
    </row>
    <row r="199" ht="15.75" customHeight="1">
      <c r="C199" s="165"/>
    </row>
    <row r="200" ht="15.75" customHeight="1">
      <c r="C200" s="165"/>
    </row>
    <row r="201" ht="15.75" customHeight="1">
      <c r="C201" s="165"/>
    </row>
    <row r="202" ht="15.75" customHeight="1">
      <c r="C202" s="165"/>
    </row>
    <row r="203" ht="15.75" customHeight="1">
      <c r="C203" s="165"/>
    </row>
    <row r="204" ht="15.75" customHeight="1">
      <c r="C204" s="165"/>
    </row>
    <row r="205" ht="15.75" customHeight="1">
      <c r="C205" s="165"/>
    </row>
    <row r="206" ht="15.75" customHeight="1">
      <c r="C206" s="165"/>
    </row>
    <row r="207" ht="15.75" customHeight="1">
      <c r="C207" s="165"/>
    </row>
    <row r="208" ht="15.75" customHeight="1">
      <c r="C208" s="165"/>
    </row>
    <row r="209" ht="15.75" customHeight="1">
      <c r="C209" s="165"/>
    </row>
    <row r="210" ht="15.75" customHeight="1">
      <c r="C210" s="165"/>
    </row>
    <row r="211" ht="15.75" customHeight="1">
      <c r="C211" s="165"/>
    </row>
    <row r="212" ht="15.75" customHeight="1">
      <c r="C212" s="165"/>
    </row>
    <row r="213" ht="15.75" customHeight="1">
      <c r="C213" s="165"/>
    </row>
    <row r="214" ht="15.75" customHeight="1">
      <c r="C214" s="165"/>
    </row>
    <row r="215" ht="15.75" customHeight="1">
      <c r="C215" s="165"/>
    </row>
    <row r="216" ht="15.75" customHeight="1">
      <c r="C216" s="165"/>
    </row>
    <row r="217" ht="15.75" customHeight="1">
      <c r="C217" s="165"/>
    </row>
    <row r="218" ht="15.75" customHeight="1">
      <c r="C218" s="165"/>
    </row>
    <row r="219" ht="15.75" customHeight="1">
      <c r="C219" s="165"/>
    </row>
    <row r="220" ht="15.75" customHeight="1">
      <c r="C220" s="165"/>
    </row>
    <row r="221" ht="15.75" customHeight="1">
      <c r="C221" s="165"/>
    </row>
    <row r="222" ht="15.75" customHeight="1">
      <c r="C222" s="165"/>
    </row>
    <row r="223" ht="15.75" customHeight="1">
      <c r="C223" s="165"/>
    </row>
    <row r="224" ht="15.75" customHeight="1">
      <c r="C224" s="165"/>
    </row>
    <row r="225" ht="15.75" customHeight="1">
      <c r="C225" s="165"/>
    </row>
    <row r="226" ht="15.75" customHeight="1">
      <c r="C226" s="165"/>
    </row>
    <row r="227" ht="15.75" customHeight="1">
      <c r="C227" s="165"/>
    </row>
    <row r="228" ht="15.75" customHeight="1">
      <c r="C228" s="165"/>
    </row>
    <row r="229" ht="15.75" customHeight="1">
      <c r="C229" s="165"/>
    </row>
    <row r="230" ht="15.75" customHeight="1">
      <c r="C230" s="165"/>
    </row>
    <row r="231" ht="15.75" customHeight="1">
      <c r="C231" s="165"/>
    </row>
    <row r="232" ht="15.75" customHeight="1">
      <c r="C232" s="165"/>
    </row>
    <row r="233" ht="15.75" customHeight="1">
      <c r="C233" s="165"/>
    </row>
    <row r="234" ht="15.75" customHeight="1">
      <c r="C234" s="165"/>
    </row>
    <row r="235" ht="15.75" customHeight="1">
      <c r="C235" s="165"/>
    </row>
    <row r="236" ht="15.75" customHeight="1">
      <c r="C236" s="165"/>
    </row>
    <row r="237" ht="15.75" customHeight="1">
      <c r="C237" s="165"/>
    </row>
    <row r="238" ht="15.75" customHeight="1">
      <c r="C238" s="165"/>
    </row>
    <row r="239" ht="15.75" customHeight="1">
      <c r="C239" s="165"/>
    </row>
    <row r="240" ht="15.75" customHeight="1">
      <c r="C240" s="165"/>
    </row>
    <row r="241" ht="15.75" customHeight="1">
      <c r="C241" s="165"/>
    </row>
    <row r="242" ht="15.75" customHeight="1">
      <c r="C242" s="165"/>
    </row>
    <row r="243" ht="15.75" customHeight="1">
      <c r="C243" s="165"/>
    </row>
    <row r="244" ht="15.75" customHeight="1">
      <c r="C244" s="165"/>
    </row>
    <row r="245" ht="15.75" customHeight="1">
      <c r="C245" s="165"/>
    </row>
    <row r="246" ht="15.75" customHeight="1">
      <c r="C246" s="165"/>
    </row>
    <row r="247" ht="15.75" customHeight="1">
      <c r="C247" s="165"/>
    </row>
    <row r="248" ht="15.75" customHeight="1">
      <c r="C248" s="165"/>
    </row>
    <row r="249" ht="15.75" customHeight="1">
      <c r="C249" s="165"/>
    </row>
    <row r="250" ht="15.75" customHeight="1">
      <c r="C250" s="165"/>
    </row>
    <row r="251" ht="15.75" customHeight="1">
      <c r="C251" s="165"/>
    </row>
    <row r="252" ht="15.75" customHeight="1">
      <c r="C252" s="165"/>
    </row>
    <row r="253" ht="15.75" customHeight="1">
      <c r="C253" s="165"/>
    </row>
    <row r="254" ht="15.75" customHeight="1">
      <c r="C254" s="165"/>
    </row>
    <row r="255" ht="15.75" customHeight="1">
      <c r="C255" s="165"/>
    </row>
    <row r="256" ht="15.75" customHeight="1">
      <c r="C256" s="165"/>
    </row>
    <row r="257" ht="15.75" customHeight="1">
      <c r="C257" s="165"/>
    </row>
    <row r="258" ht="15.75" customHeight="1">
      <c r="C258" s="165"/>
    </row>
    <row r="259" ht="15.75" customHeight="1">
      <c r="C259" s="165"/>
    </row>
    <row r="260" ht="15.75" customHeight="1">
      <c r="C260" s="165"/>
    </row>
    <row r="261" ht="15.75" customHeight="1">
      <c r="C261" s="165"/>
    </row>
    <row r="262" ht="15.75" customHeight="1">
      <c r="C262" s="165"/>
    </row>
    <row r="263" ht="15.75" customHeight="1">
      <c r="C263" s="165"/>
    </row>
    <row r="264" ht="15.75" customHeight="1">
      <c r="C264" s="165"/>
    </row>
    <row r="265" ht="15.75" customHeight="1">
      <c r="C265" s="165"/>
    </row>
    <row r="266" ht="15.75" customHeight="1">
      <c r="C266" s="165"/>
    </row>
    <row r="267" ht="15.75" customHeight="1">
      <c r="C267" s="165"/>
    </row>
    <row r="268" ht="15.75" customHeight="1">
      <c r="C268" s="165"/>
    </row>
    <row r="269" ht="15.75" customHeight="1">
      <c r="C269" s="165"/>
    </row>
    <row r="270" ht="15.75" customHeight="1">
      <c r="C270" s="165"/>
    </row>
    <row r="271" ht="15.75" customHeight="1">
      <c r="C271" s="165"/>
    </row>
    <row r="272" ht="15.75" customHeight="1">
      <c r="C272" s="165"/>
    </row>
    <row r="273" ht="15.75" customHeight="1">
      <c r="C273" s="165"/>
    </row>
    <row r="274" ht="15.75" customHeight="1">
      <c r="C274" s="165"/>
    </row>
    <row r="275" ht="15.75" customHeight="1">
      <c r="C275" s="165"/>
    </row>
    <row r="276" ht="15.75" customHeight="1">
      <c r="C276" s="165"/>
    </row>
    <row r="277" ht="15.75" customHeight="1">
      <c r="C277" s="165"/>
    </row>
    <row r="278" ht="15.75" customHeight="1">
      <c r="C278" s="165"/>
    </row>
    <row r="279" ht="15.75" customHeight="1">
      <c r="C279" s="165"/>
    </row>
    <row r="280" ht="15.75" customHeight="1">
      <c r="C280" s="165"/>
    </row>
    <row r="281" ht="15.75" customHeight="1">
      <c r="C281" s="165"/>
    </row>
    <row r="282" ht="15.75" customHeight="1">
      <c r="C282" s="165"/>
    </row>
    <row r="283" ht="15.75" customHeight="1">
      <c r="C283" s="165"/>
    </row>
    <row r="284" ht="15.75" customHeight="1">
      <c r="C284" s="165"/>
    </row>
    <row r="285" ht="15.75" customHeight="1">
      <c r="C285" s="165"/>
    </row>
    <row r="286" ht="15.75" customHeight="1">
      <c r="C286" s="165"/>
    </row>
    <row r="287" ht="15.75" customHeight="1">
      <c r="C287" s="165"/>
    </row>
    <row r="288" ht="15.75" customHeight="1">
      <c r="C288" s="165"/>
    </row>
    <row r="289" ht="15.75" customHeight="1">
      <c r="C289" s="165"/>
    </row>
    <row r="290" ht="15.75" customHeight="1">
      <c r="C290" s="165"/>
    </row>
    <row r="291" ht="15.75" customHeight="1">
      <c r="C291" s="165"/>
    </row>
    <row r="292" ht="15.75" customHeight="1">
      <c r="C292" s="165"/>
    </row>
    <row r="293" ht="15.75" customHeight="1">
      <c r="C293" s="165"/>
    </row>
    <row r="294" ht="15.75" customHeight="1">
      <c r="C294" s="165"/>
    </row>
    <row r="295" ht="15.75" customHeight="1">
      <c r="C295" s="165"/>
    </row>
    <row r="296" ht="15.75" customHeight="1">
      <c r="C296" s="165"/>
    </row>
    <row r="297" ht="15.75" customHeight="1">
      <c r="C297" s="165"/>
    </row>
    <row r="298" ht="15.75" customHeight="1">
      <c r="C298" s="165"/>
    </row>
    <row r="299" ht="15.75" customHeight="1">
      <c r="C299" s="165"/>
    </row>
    <row r="300" ht="15.75" customHeight="1">
      <c r="C300" s="165"/>
    </row>
    <row r="301" ht="15.75" customHeight="1">
      <c r="C301" s="165"/>
    </row>
    <row r="302" ht="15.75" customHeight="1">
      <c r="C302" s="165"/>
    </row>
    <row r="303" ht="15.75" customHeight="1">
      <c r="C303" s="165"/>
    </row>
    <row r="304" ht="15.75" customHeight="1">
      <c r="C304" s="165"/>
    </row>
    <row r="305" ht="15.75" customHeight="1">
      <c r="C305" s="165"/>
    </row>
    <row r="306" ht="15.75" customHeight="1">
      <c r="C306" s="165"/>
    </row>
    <row r="307" ht="15.75" customHeight="1">
      <c r="C307" s="165"/>
    </row>
    <row r="308" ht="15.75" customHeight="1">
      <c r="C308" s="165"/>
    </row>
    <row r="309" ht="15.75" customHeight="1">
      <c r="C309" s="165"/>
    </row>
    <row r="310" ht="15.75" customHeight="1">
      <c r="C310" s="165"/>
    </row>
    <row r="311" ht="15.75" customHeight="1">
      <c r="C311" s="165"/>
    </row>
    <row r="312" ht="15.75" customHeight="1">
      <c r="C312" s="165"/>
    </row>
    <row r="313" ht="15.75" customHeight="1">
      <c r="C313" s="165"/>
    </row>
    <row r="314" ht="15.75" customHeight="1">
      <c r="C314" s="165"/>
    </row>
    <row r="315" ht="15.75" customHeight="1">
      <c r="C315" s="165"/>
    </row>
    <row r="316" ht="15.75" customHeight="1">
      <c r="C316" s="165"/>
    </row>
    <row r="317" ht="15.75" customHeight="1">
      <c r="C317" s="165"/>
    </row>
    <row r="318" ht="15.75" customHeight="1">
      <c r="C318" s="165"/>
    </row>
    <row r="319" ht="15.75" customHeight="1">
      <c r="C319" s="165"/>
    </row>
    <row r="320" ht="15.75" customHeight="1">
      <c r="C320" s="165"/>
    </row>
    <row r="321" ht="15.75" customHeight="1">
      <c r="C321" s="165"/>
    </row>
    <row r="322" ht="15.75" customHeight="1">
      <c r="C322" s="165"/>
    </row>
    <row r="323" ht="15.75" customHeight="1">
      <c r="C323" s="165"/>
    </row>
    <row r="324" ht="15.75" customHeight="1">
      <c r="C324" s="165"/>
    </row>
    <row r="325" ht="15.75" customHeight="1">
      <c r="C325" s="165"/>
    </row>
    <row r="326" ht="15.75" customHeight="1">
      <c r="C326" s="165"/>
    </row>
    <row r="327" ht="15.75" customHeight="1">
      <c r="C327" s="165"/>
    </row>
    <row r="328" ht="15.75" customHeight="1">
      <c r="C328" s="165"/>
    </row>
    <row r="329" ht="15.75" customHeight="1">
      <c r="C329" s="165"/>
    </row>
    <row r="330" ht="15.75" customHeight="1">
      <c r="C330" s="165"/>
    </row>
    <row r="331" ht="15.75" customHeight="1">
      <c r="C331" s="165"/>
    </row>
    <row r="332" ht="15.75" customHeight="1">
      <c r="C332" s="165"/>
    </row>
    <row r="333" ht="15.75" customHeight="1">
      <c r="C333" s="165"/>
    </row>
    <row r="334" ht="15.75" customHeight="1">
      <c r="C334" s="165"/>
    </row>
    <row r="335" ht="15.75" customHeight="1">
      <c r="C335" s="165"/>
    </row>
    <row r="336" ht="15.75" customHeight="1">
      <c r="C336" s="165"/>
    </row>
    <row r="337" ht="15.75" customHeight="1">
      <c r="C337" s="165"/>
    </row>
    <row r="338" ht="15.75" customHeight="1">
      <c r="C338" s="165"/>
    </row>
    <row r="339" ht="15.75" customHeight="1">
      <c r="C339" s="165"/>
    </row>
    <row r="340" ht="15.75" customHeight="1">
      <c r="C340" s="165"/>
    </row>
    <row r="341" ht="15.75" customHeight="1">
      <c r="C341" s="165"/>
    </row>
    <row r="342" ht="15.75" customHeight="1">
      <c r="C342" s="165"/>
    </row>
    <row r="343" ht="15.75" customHeight="1">
      <c r="C343" s="165"/>
    </row>
    <row r="344" ht="15.75" customHeight="1">
      <c r="C344" s="165"/>
    </row>
    <row r="345" ht="15.75" customHeight="1">
      <c r="C345" s="165"/>
    </row>
    <row r="346" ht="15.75" customHeight="1">
      <c r="C346" s="165"/>
    </row>
    <row r="347" ht="15.75" customHeight="1">
      <c r="C347" s="165"/>
    </row>
    <row r="348" ht="15.75" customHeight="1">
      <c r="C348" s="165"/>
    </row>
    <row r="349" ht="15.75" customHeight="1">
      <c r="C349" s="165"/>
    </row>
    <row r="350" ht="15.75" customHeight="1">
      <c r="C350" s="165"/>
    </row>
    <row r="351" ht="15.75" customHeight="1">
      <c r="C351" s="165"/>
    </row>
    <row r="352" ht="15.75" customHeight="1">
      <c r="C352" s="165"/>
    </row>
    <row r="353" ht="15.75" customHeight="1">
      <c r="C353" s="165"/>
    </row>
    <row r="354" ht="15.75" customHeight="1">
      <c r="C354" s="165"/>
    </row>
    <row r="355" ht="15.75" customHeight="1">
      <c r="C355" s="165"/>
    </row>
    <row r="356" ht="15.75" customHeight="1">
      <c r="C356" s="165"/>
    </row>
    <row r="357" ht="15.75" customHeight="1">
      <c r="C357" s="165"/>
    </row>
    <row r="358" ht="15.75" customHeight="1">
      <c r="C358" s="165"/>
    </row>
    <row r="359" ht="15.75" customHeight="1">
      <c r="C359" s="165"/>
    </row>
    <row r="360" ht="15.75" customHeight="1">
      <c r="C360" s="165"/>
    </row>
    <row r="361" ht="15.75" customHeight="1">
      <c r="C361" s="165"/>
    </row>
    <row r="362" ht="15.75" customHeight="1">
      <c r="C362" s="165"/>
    </row>
    <row r="363" ht="15.75" customHeight="1">
      <c r="C363" s="165"/>
    </row>
    <row r="364" ht="15.75" customHeight="1">
      <c r="C364" s="165"/>
    </row>
    <row r="365" ht="15.75" customHeight="1">
      <c r="C365" s="165"/>
    </row>
    <row r="366" ht="15.75" customHeight="1">
      <c r="C366" s="165"/>
    </row>
    <row r="367" ht="15.75" customHeight="1">
      <c r="C367" s="165"/>
    </row>
    <row r="368" ht="15.75" customHeight="1">
      <c r="C368" s="165"/>
    </row>
    <row r="369" ht="15.75" customHeight="1">
      <c r="C369" s="165"/>
    </row>
    <row r="370" ht="15.75" customHeight="1">
      <c r="C370" s="165"/>
    </row>
    <row r="371" ht="15.75" customHeight="1">
      <c r="C371" s="165"/>
    </row>
    <row r="372" ht="15.75" customHeight="1">
      <c r="C372" s="165"/>
    </row>
    <row r="373" ht="15.75" customHeight="1">
      <c r="C373" s="165"/>
    </row>
    <row r="374" ht="15.75" customHeight="1">
      <c r="C374" s="165"/>
    </row>
    <row r="375" ht="15.75" customHeight="1">
      <c r="C375" s="165"/>
    </row>
    <row r="376" ht="15.75" customHeight="1">
      <c r="C376" s="165"/>
    </row>
    <row r="377" ht="15.75" customHeight="1">
      <c r="C377" s="165"/>
    </row>
    <row r="378" ht="15.75" customHeight="1">
      <c r="C378" s="165"/>
    </row>
    <row r="379" ht="15.75" customHeight="1">
      <c r="C379" s="165"/>
    </row>
    <row r="380" ht="15.75" customHeight="1">
      <c r="C380" s="165"/>
    </row>
    <row r="381" ht="15.75" customHeight="1">
      <c r="C381" s="165"/>
    </row>
    <row r="382" ht="15.75" customHeight="1">
      <c r="C382" s="165"/>
    </row>
    <row r="383" ht="15.75" customHeight="1">
      <c r="C383" s="165"/>
    </row>
    <row r="384" ht="15.75" customHeight="1">
      <c r="C384" s="165"/>
    </row>
    <row r="385" ht="15.75" customHeight="1">
      <c r="C385" s="165"/>
    </row>
    <row r="386" ht="15.75" customHeight="1">
      <c r="C386" s="165"/>
    </row>
    <row r="387" ht="15.75" customHeight="1">
      <c r="C387" s="165"/>
    </row>
    <row r="388" ht="15.75" customHeight="1">
      <c r="C388" s="165"/>
    </row>
    <row r="389" ht="15.75" customHeight="1">
      <c r="C389" s="165"/>
    </row>
    <row r="390" ht="15.75" customHeight="1">
      <c r="C390" s="165"/>
    </row>
    <row r="391" ht="15.75" customHeight="1">
      <c r="C391" s="165"/>
    </row>
    <row r="392" ht="15.75" customHeight="1">
      <c r="C392" s="165"/>
    </row>
    <row r="393" ht="15.75" customHeight="1">
      <c r="C393" s="165"/>
    </row>
    <row r="394" ht="15.75" customHeight="1">
      <c r="C394" s="165"/>
    </row>
    <row r="395" ht="15.75" customHeight="1">
      <c r="C395" s="165"/>
    </row>
    <row r="396" ht="15.75" customHeight="1">
      <c r="C396" s="165"/>
    </row>
    <row r="397" ht="15.75" customHeight="1">
      <c r="C397" s="165"/>
    </row>
    <row r="398" ht="15.75" customHeight="1">
      <c r="C398" s="165"/>
    </row>
    <row r="399" ht="15.75" customHeight="1">
      <c r="C399" s="165"/>
    </row>
    <row r="400" ht="15.75" customHeight="1">
      <c r="C400" s="165"/>
    </row>
    <row r="401" ht="15.75" customHeight="1">
      <c r="C401" s="165"/>
    </row>
    <row r="402" ht="15.75" customHeight="1">
      <c r="C402" s="165"/>
    </row>
    <row r="403" ht="15.75" customHeight="1">
      <c r="C403" s="165"/>
    </row>
    <row r="404" ht="15.75" customHeight="1">
      <c r="C404" s="165"/>
    </row>
    <row r="405" ht="15.75" customHeight="1">
      <c r="C405" s="165"/>
    </row>
    <row r="406" ht="15.75" customHeight="1">
      <c r="C406" s="165"/>
    </row>
    <row r="407" ht="15.75" customHeight="1">
      <c r="C407" s="165"/>
    </row>
    <row r="408" ht="15.75" customHeight="1">
      <c r="C408" s="165"/>
    </row>
    <row r="409" ht="15.75" customHeight="1">
      <c r="C409" s="165"/>
    </row>
    <row r="410" ht="15.75" customHeight="1">
      <c r="C410" s="165"/>
    </row>
    <row r="411" ht="15.75" customHeight="1">
      <c r="C411" s="165"/>
    </row>
    <row r="412" ht="15.75" customHeight="1">
      <c r="C412" s="165"/>
    </row>
    <row r="413" ht="15.75" customHeight="1">
      <c r="C413" s="165"/>
    </row>
    <row r="414" ht="15.75" customHeight="1">
      <c r="C414" s="165"/>
    </row>
    <row r="415" ht="15.75" customHeight="1">
      <c r="C415" s="165"/>
    </row>
    <row r="416" ht="15.75" customHeight="1">
      <c r="C416" s="165"/>
    </row>
    <row r="417" ht="15.75" customHeight="1">
      <c r="C417" s="165"/>
    </row>
    <row r="418" ht="15.75" customHeight="1">
      <c r="C418" s="165"/>
    </row>
    <row r="419" ht="15.75" customHeight="1">
      <c r="C419" s="165"/>
    </row>
    <row r="420" ht="15.75" customHeight="1">
      <c r="C420" s="165"/>
    </row>
    <row r="421" ht="15.75" customHeight="1">
      <c r="C421" s="165"/>
    </row>
    <row r="422" ht="15.75" customHeight="1">
      <c r="C422" s="165"/>
    </row>
    <row r="423" ht="15.75" customHeight="1">
      <c r="C423" s="165"/>
    </row>
    <row r="424" ht="15.75" customHeight="1">
      <c r="C424" s="165"/>
    </row>
    <row r="425" ht="15.75" customHeight="1">
      <c r="C425" s="165"/>
    </row>
    <row r="426" ht="15.75" customHeight="1">
      <c r="C426" s="165"/>
    </row>
    <row r="427" ht="15.75" customHeight="1">
      <c r="C427" s="165"/>
    </row>
    <row r="428" ht="15.75" customHeight="1">
      <c r="C428" s="165"/>
    </row>
    <row r="429" ht="15.75" customHeight="1">
      <c r="C429" s="165"/>
    </row>
    <row r="430" ht="15.75" customHeight="1">
      <c r="C430" s="165"/>
    </row>
    <row r="431" ht="15.75" customHeight="1">
      <c r="C431" s="165"/>
    </row>
    <row r="432" ht="15.75" customHeight="1">
      <c r="C432" s="165"/>
    </row>
    <row r="433" ht="15.75" customHeight="1">
      <c r="C433" s="165"/>
    </row>
    <row r="434" ht="15.75" customHeight="1">
      <c r="C434" s="165"/>
    </row>
    <row r="435" ht="15.75" customHeight="1">
      <c r="C435" s="165"/>
    </row>
    <row r="436" ht="15.75" customHeight="1">
      <c r="C436" s="165"/>
    </row>
    <row r="437" ht="15.75" customHeight="1">
      <c r="C437" s="165"/>
    </row>
    <row r="438" ht="15.75" customHeight="1">
      <c r="C438" s="165"/>
    </row>
    <row r="439" ht="15.75" customHeight="1">
      <c r="C439" s="165"/>
    </row>
    <row r="440" ht="15.75" customHeight="1">
      <c r="C440" s="165"/>
    </row>
    <row r="441" ht="15.75" customHeight="1">
      <c r="C441" s="165"/>
    </row>
    <row r="442" ht="15.75" customHeight="1">
      <c r="C442" s="165"/>
    </row>
    <row r="443" ht="15.75" customHeight="1">
      <c r="C443" s="165"/>
    </row>
    <row r="444" ht="15.75" customHeight="1">
      <c r="C444" s="165"/>
    </row>
    <row r="445" ht="15.75" customHeight="1">
      <c r="C445" s="165"/>
    </row>
    <row r="446" ht="15.75" customHeight="1">
      <c r="C446" s="165"/>
    </row>
    <row r="447" ht="15.75" customHeight="1">
      <c r="C447" s="165"/>
    </row>
    <row r="448" ht="15.75" customHeight="1">
      <c r="C448" s="165"/>
    </row>
    <row r="449" ht="15.75" customHeight="1">
      <c r="C449" s="165"/>
    </row>
    <row r="450" ht="15.75" customHeight="1">
      <c r="C450" s="165"/>
    </row>
    <row r="451" ht="15.75" customHeight="1">
      <c r="C451" s="165"/>
    </row>
    <row r="452" ht="15.75" customHeight="1">
      <c r="C452" s="165"/>
    </row>
    <row r="453" ht="15.75" customHeight="1">
      <c r="C453" s="165"/>
    </row>
    <row r="454" ht="15.75" customHeight="1">
      <c r="C454" s="165"/>
    </row>
    <row r="455" ht="15.75" customHeight="1">
      <c r="C455" s="165"/>
    </row>
    <row r="456" ht="15.75" customHeight="1">
      <c r="C456" s="165"/>
    </row>
    <row r="457" ht="15.75" customHeight="1">
      <c r="C457" s="165"/>
    </row>
    <row r="458" ht="15.75" customHeight="1">
      <c r="C458" s="165"/>
    </row>
    <row r="459" ht="15.75" customHeight="1">
      <c r="C459" s="165"/>
    </row>
    <row r="460" ht="15.75" customHeight="1">
      <c r="C460" s="165"/>
    </row>
    <row r="461" ht="15.75" customHeight="1">
      <c r="C461" s="165"/>
    </row>
    <row r="462" ht="15.75" customHeight="1">
      <c r="C462" s="165"/>
    </row>
    <row r="463" ht="15.75" customHeight="1">
      <c r="C463" s="165"/>
    </row>
    <row r="464" ht="15.75" customHeight="1">
      <c r="C464" s="165"/>
    </row>
    <row r="465" ht="15.75" customHeight="1">
      <c r="C465" s="165"/>
    </row>
    <row r="466" ht="15.75" customHeight="1">
      <c r="C466" s="165"/>
    </row>
    <row r="467" ht="15.75" customHeight="1">
      <c r="C467" s="165"/>
    </row>
    <row r="468" ht="15.75" customHeight="1">
      <c r="C468" s="165"/>
    </row>
    <row r="469" ht="15.75" customHeight="1">
      <c r="C469" s="165"/>
    </row>
    <row r="470" ht="15.75" customHeight="1">
      <c r="C470" s="165"/>
    </row>
    <row r="471" ht="15.75" customHeight="1">
      <c r="C471" s="165"/>
    </row>
    <row r="472" ht="15.75" customHeight="1">
      <c r="C472" s="165"/>
    </row>
    <row r="473" ht="15.75" customHeight="1">
      <c r="C473" s="165"/>
    </row>
    <row r="474" ht="15.75" customHeight="1">
      <c r="C474" s="165"/>
    </row>
    <row r="475" ht="15.75" customHeight="1">
      <c r="C475" s="165"/>
    </row>
    <row r="476" ht="15.75" customHeight="1">
      <c r="C476" s="165"/>
    </row>
    <row r="477" ht="15.75" customHeight="1">
      <c r="C477" s="165"/>
    </row>
    <row r="478" ht="15.75" customHeight="1">
      <c r="C478" s="165"/>
    </row>
    <row r="479" ht="15.75" customHeight="1">
      <c r="C479" s="165"/>
    </row>
    <row r="480" ht="15.75" customHeight="1">
      <c r="C480" s="165"/>
    </row>
    <row r="481" ht="15.75" customHeight="1">
      <c r="C481" s="165"/>
    </row>
    <row r="482" ht="15.75" customHeight="1">
      <c r="C482" s="165"/>
    </row>
    <row r="483" ht="15.75" customHeight="1">
      <c r="C483" s="165"/>
    </row>
    <row r="484" ht="15.75" customHeight="1">
      <c r="C484" s="165"/>
    </row>
    <row r="485" ht="15.75" customHeight="1">
      <c r="C485" s="165"/>
    </row>
    <row r="486" ht="15.75" customHeight="1">
      <c r="C486" s="165"/>
    </row>
    <row r="487" ht="15.75" customHeight="1">
      <c r="C487" s="165"/>
    </row>
    <row r="488" ht="15.75" customHeight="1">
      <c r="C488" s="165"/>
    </row>
    <row r="489" ht="15.75" customHeight="1">
      <c r="C489" s="165"/>
    </row>
    <row r="490" ht="15.75" customHeight="1">
      <c r="C490" s="165"/>
    </row>
    <row r="491" ht="15.75" customHeight="1">
      <c r="C491" s="165"/>
    </row>
    <row r="492" ht="15.75" customHeight="1">
      <c r="C492" s="165"/>
    </row>
    <row r="493" ht="15.75" customHeight="1">
      <c r="C493" s="165"/>
    </row>
    <row r="494" ht="15.75" customHeight="1">
      <c r="C494" s="165"/>
    </row>
    <row r="495" ht="15.75" customHeight="1">
      <c r="C495" s="165"/>
    </row>
    <row r="496" ht="15.75" customHeight="1">
      <c r="C496" s="165"/>
    </row>
    <row r="497" ht="15.75" customHeight="1">
      <c r="C497" s="165"/>
    </row>
    <row r="498" ht="15.75" customHeight="1">
      <c r="C498" s="165"/>
    </row>
    <row r="499" ht="15.75" customHeight="1">
      <c r="C499" s="165"/>
    </row>
    <row r="500" ht="15.75" customHeight="1">
      <c r="C500" s="165"/>
    </row>
    <row r="501" ht="15.75" customHeight="1">
      <c r="C501" s="165"/>
    </row>
    <row r="502" ht="15.75" customHeight="1">
      <c r="C502" s="165"/>
    </row>
    <row r="503" ht="15.75" customHeight="1">
      <c r="C503" s="165"/>
    </row>
    <row r="504" ht="15.75" customHeight="1">
      <c r="C504" s="165"/>
    </row>
    <row r="505" ht="15.75" customHeight="1">
      <c r="C505" s="165"/>
    </row>
    <row r="506" ht="15.75" customHeight="1">
      <c r="C506" s="165"/>
    </row>
    <row r="507" ht="15.75" customHeight="1">
      <c r="C507" s="165"/>
    </row>
    <row r="508" ht="15.75" customHeight="1">
      <c r="C508" s="165"/>
    </row>
    <row r="509" ht="15.75" customHeight="1">
      <c r="C509" s="165"/>
    </row>
    <row r="510" ht="15.75" customHeight="1">
      <c r="C510" s="165"/>
    </row>
    <row r="511" ht="15.75" customHeight="1">
      <c r="C511" s="165"/>
    </row>
    <row r="512" ht="15.75" customHeight="1">
      <c r="C512" s="165"/>
    </row>
    <row r="513" ht="15.75" customHeight="1">
      <c r="C513" s="165"/>
    </row>
    <row r="514" ht="15.75" customHeight="1">
      <c r="C514" s="165"/>
    </row>
    <row r="515" ht="15.75" customHeight="1">
      <c r="C515" s="165"/>
    </row>
    <row r="516" ht="15.75" customHeight="1">
      <c r="C516" s="165"/>
    </row>
    <row r="517" ht="15.75" customHeight="1">
      <c r="C517" s="165"/>
    </row>
    <row r="518" ht="15.75" customHeight="1">
      <c r="C518" s="165"/>
    </row>
    <row r="519" ht="15.75" customHeight="1">
      <c r="C519" s="165"/>
    </row>
    <row r="520" ht="15.75" customHeight="1">
      <c r="C520" s="165"/>
    </row>
    <row r="521" ht="15.75" customHeight="1">
      <c r="C521" s="165"/>
    </row>
    <row r="522" ht="15.75" customHeight="1">
      <c r="C522" s="165"/>
    </row>
    <row r="523" ht="15.75" customHeight="1">
      <c r="C523" s="165"/>
    </row>
    <row r="524" ht="15.75" customHeight="1">
      <c r="C524" s="165"/>
    </row>
    <row r="525" ht="15.75" customHeight="1">
      <c r="C525" s="165"/>
    </row>
    <row r="526" ht="15.75" customHeight="1">
      <c r="C526" s="165"/>
    </row>
    <row r="527" ht="15.75" customHeight="1">
      <c r="C527" s="165"/>
    </row>
    <row r="528" ht="15.75" customHeight="1">
      <c r="C528" s="165"/>
    </row>
    <row r="529" ht="15.75" customHeight="1">
      <c r="C529" s="165"/>
    </row>
    <row r="530" ht="15.75" customHeight="1">
      <c r="C530" s="165"/>
    </row>
    <row r="531" ht="15.75" customHeight="1">
      <c r="C531" s="165"/>
    </row>
    <row r="532" ht="15.75" customHeight="1">
      <c r="C532" s="165"/>
    </row>
    <row r="533" ht="15.75" customHeight="1">
      <c r="C533" s="165"/>
    </row>
    <row r="534" ht="15.75" customHeight="1">
      <c r="C534" s="165"/>
    </row>
    <row r="535" ht="15.75" customHeight="1">
      <c r="C535" s="165"/>
    </row>
    <row r="536" ht="15.75" customHeight="1">
      <c r="C536" s="165"/>
    </row>
    <row r="537" ht="15.75" customHeight="1">
      <c r="C537" s="165"/>
    </row>
    <row r="538" ht="15.75" customHeight="1">
      <c r="C538" s="165"/>
    </row>
    <row r="539" ht="15.75" customHeight="1">
      <c r="C539" s="165"/>
    </row>
    <row r="540" ht="15.75" customHeight="1">
      <c r="C540" s="165"/>
    </row>
    <row r="541" ht="15.75" customHeight="1">
      <c r="C541" s="165"/>
    </row>
    <row r="542" ht="15.75" customHeight="1">
      <c r="C542" s="165"/>
    </row>
    <row r="543" ht="15.75" customHeight="1">
      <c r="C543" s="165"/>
    </row>
    <row r="544" ht="15.75" customHeight="1">
      <c r="C544" s="165"/>
    </row>
    <row r="545" ht="15.75" customHeight="1">
      <c r="C545" s="165"/>
    </row>
    <row r="546" ht="15.75" customHeight="1">
      <c r="C546" s="165"/>
    </row>
    <row r="547" ht="15.75" customHeight="1">
      <c r="C547" s="165"/>
    </row>
    <row r="548" ht="15.75" customHeight="1">
      <c r="C548" s="165"/>
    </row>
    <row r="549" ht="15.75" customHeight="1">
      <c r="C549" s="165"/>
    </row>
    <row r="550" ht="15.75" customHeight="1">
      <c r="C550" s="165"/>
    </row>
    <row r="551" ht="15.75" customHeight="1">
      <c r="C551" s="165"/>
    </row>
    <row r="552" ht="15.75" customHeight="1">
      <c r="C552" s="165"/>
    </row>
    <row r="553" ht="15.75" customHeight="1">
      <c r="C553" s="165"/>
    </row>
    <row r="554" ht="15.75" customHeight="1">
      <c r="C554" s="165"/>
    </row>
    <row r="555" ht="15.75" customHeight="1">
      <c r="C555" s="165"/>
    </row>
    <row r="556" ht="15.75" customHeight="1">
      <c r="C556" s="165"/>
    </row>
    <row r="557" ht="15.75" customHeight="1">
      <c r="C557" s="165"/>
    </row>
    <row r="558" ht="15.75" customHeight="1">
      <c r="C558" s="165"/>
    </row>
    <row r="559" ht="15.75" customHeight="1">
      <c r="C559" s="165"/>
    </row>
    <row r="560" ht="15.75" customHeight="1">
      <c r="C560" s="165"/>
    </row>
    <row r="561" ht="15.75" customHeight="1">
      <c r="C561" s="165"/>
    </row>
    <row r="562" ht="15.75" customHeight="1">
      <c r="C562" s="165"/>
    </row>
    <row r="563" ht="15.75" customHeight="1">
      <c r="C563" s="165"/>
    </row>
    <row r="564" ht="15.75" customHeight="1">
      <c r="C564" s="165"/>
    </row>
    <row r="565" ht="15.75" customHeight="1">
      <c r="C565" s="165"/>
    </row>
    <row r="566" ht="15.75" customHeight="1">
      <c r="C566" s="165"/>
    </row>
    <row r="567" ht="15.75" customHeight="1">
      <c r="C567" s="165"/>
    </row>
    <row r="568" ht="15.75" customHeight="1">
      <c r="C568" s="165"/>
    </row>
    <row r="569" ht="15.75" customHeight="1">
      <c r="C569" s="165"/>
    </row>
    <row r="570" ht="15.75" customHeight="1">
      <c r="C570" s="165"/>
    </row>
    <row r="571" ht="15.75" customHeight="1">
      <c r="C571" s="165"/>
    </row>
    <row r="572" ht="15.75" customHeight="1">
      <c r="C572" s="165"/>
    </row>
    <row r="573" ht="15.75" customHeight="1">
      <c r="C573" s="165"/>
    </row>
    <row r="574" ht="15.75" customHeight="1">
      <c r="C574" s="165"/>
    </row>
    <row r="575" ht="15.75" customHeight="1">
      <c r="C575" s="165"/>
    </row>
    <row r="576" ht="15.75" customHeight="1">
      <c r="C576" s="165"/>
    </row>
    <row r="577" ht="15.75" customHeight="1">
      <c r="C577" s="165"/>
    </row>
    <row r="578" ht="15.75" customHeight="1">
      <c r="C578" s="165"/>
    </row>
    <row r="579" ht="15.75" customHeight="1">
      <c r="C579" s="165"/>
    </row>
    <row r="580" ht="15.75" customHeight="1">
      <c r="C580" s="165"/>
    </row>
    <row r="581" ht="15.75" customHeight="1">
      <c r="C581" s="165"/>
    </row>
    <row r="582" ht="15.75" customHeight="1">
      <c r="C582" s="165"/>
    </row>
    <row r="583" ht="15.75" customHeight="1">
      <c r="C583" s="165"/>
    </row>
    <row r="584" ht="15.75" customHeight="1">
      <c r="C584" s="165"/>
    </row>
    <row r="585" ht="15.75" customHeight="1">
      <c r="C585" s="165"/>
    </row>
    <row r="586" ht="15.75" customHeight="1">
      <c r="C586" s="165"/>
    </row>
    <row r="587" ht="15.75" customHeight="1">
      <c r="C587" s="165"/>
    </row>
    <row r="588" ht="15.75" customHeight="1">
      <c r="C588" s="165"/>
    </row>
    <row r="589" ht="15.75" customHeight="1">
      <c r="C589" s="165"/>
    </row>
    <row r="590" ht="15.75" customHeight="1">
      <c r="C590" s="165"/>
    </row>
    <row r="591" ht="15.75" customHeight="1">
      <c r="C591" s="165"/>
    </row>
    <row r="592" ht="15.75" customHeight="1">
      <c r="C592" s="165"/>
    </row>
    <row r="593" ht="15.75" customHeight="1">
      <c r="C593" s="165"/>
    </row>
    <row r="594" ht="15.75" customHeight="1">
      <c r="C594" s="165"/>
    </row>
    <row r="595" ht="15.75" customHeight="1">
      <c r="C595" s="165"/>
    </row>
    <row r="596" ht="15.75" customHeight="1">
      <c r="C596" s="165"/>
    </row>
    <row r="597" ht="15.75" customHeight="1">
      <c r="C597" s="165"/>
    </row>
    <row r="598" ht="15.75" customHeight="1">
      <c r="C598" s="165"/>
    </row>
    <row r="599" ht="15.75" customHeight="1">
      <c r="C599" s="165"/>
    </row>
    <row r="600" ht="15.75" customHeight="1">
      <c r="C600" s="165"/>
    </row>
    <row r="601" ht="15.75" customHeight="1">
      <c r="C601" s="165"/>
    </row>
    <row r="602" ht="15.75" customHeight="1">
      <c r="C602" s="165"/>
    </row>
    <row r="603" ht="15.75" customHeight="1">
      <c r="C603" s="165"/>
    </row>
    <row r="604" ht="15.75" customHeight="1">
      <c r="C604" s="165"/>
    </row>
    <row r="605" ht="15.75" customHeight="1">
      <c r="C605" s="165"/>
    </row>
    <row r="606" ht="15.75" customHeight="1">
      <c r="C606" s="165"/>
    </row>
    <row r="607" ht="15.75" customHeight="1">
      <c r="C607" s="165"/>
    </row>
    <row r="608" ht="15.75" customHeight="1">
      <c r="C608" s="165"/>
    </row>
    <row r="609" ht="15.75" customHeight="1">
      <c r="C609" s="165"/>
    </row>
    <row r="610" ht="15.75" customHeight="1">
      <c r="C610" s="165"/>
    </row>
    <row r="611" ht="15.75" customHeight="1">
      <c r="C611" s="165"/>
    </row>
    <row r="612" ht="15.75" customHeight="1">
      <c r="C612" s="165"/>
    </row>
    <row r="613" ht="15.75" customHeight="1">
      <c r="C613" s="165"/>
    </row>
    <row r="614" ht="15.75" customHeight="1">
      <c r="C614" s="165"/>
    </row>
    <row r="615" ht="15.75" customHeight="1">
      <c r="C615" s="165"/>
    </row>
    <row r="616" ht="15.75" customHeight="1">
      <c r="C616" s="165"/>
    </row>
    <row r="617" ht="15.75" customHeight="1">
      <c r="C617" s="165"/>
    </row>
    <row r="618" ht="15.75" customHeight="1">
      <c r="C618" s="165"/>
    </row>
    <row r="619" ht="15.75" customHeight="1">
      <c r="C619" s="165"/>
    </row>
    <row r="620" ht="15.75" customHeight="1">
      <c r="C620" s="165"/>
    </row>
    <row r="621" ht="15.75" customHeight="1">
      <c r="C621" s="165"/>
    </row>
    <row r="622" ht="15.75" customHeight="1">
      <c r="C622" s="165"/>
    </row>
    <row r="623" ht="15.75" customHeight="1">
      <c r="C623" s="165"/>
    </row>
    <row r="624" ht="15.75" customHeight="1">
      <c r="C624" s="165"/>
    </row>
    <row r="625" ht="15.75" customHeight="1">
      <c r="C625" s="165"/>
    </row>
    <row r="626" ht="15.75" customHeight="1">
      <c r="C626" s="165"/>
    </row>
    <row r="627" ht="15.75" customHeight="1">
      <c r="C627" s="165"/>
    </row>
    <row r="628" ht="15.75" customHeight="1">
      <c r="C628" s="165"/>
    </row>
    <row r="629" ht="15.75" customHeight="1">
      <c r="C629" s="165"/>
    </row>
    <row r="630" ht="15.75" customHeight="1">
      <c r="C630" s="165"/>
    </row>
    <row r="631" ht="15.75" customHeight="1">
      <c r="C631" s="165"/>
    </row>
    <row r="632" ht="15.75" customHeight="1">
      <c r="C632" s="165"/>
    </row>
    <row r="633" ht="15.75" customHeight="1">
      <c r="C633" s="165"/>
    </row>
    <row r="634" ht="15.75" customHeight="1">
      <c r="C634" s="165"/>
    </row>
    <row r="635" ht="15.75" customHeight="1">
      <c r="C635" s="165"/>
    </row>
    <row r="636" ht="15.75" customHeight="1">
      <c r="C636" s="165"/>
    </row>
    <row r="637" ht="15.75" customHeight="1">
      <c r="C637" s="165"/>
    </row>
    <row r="638" ht="15.75" customHeight="1">
      <c r="C638" s="165"/>
    </row>
    <row r="639" ht="15.75" customHeight="1">
      <c r="C639" s="165"/>
    </row>
    <row r="640" ht="15.75" customHeight="1">
      <c r="C640" s="165"/>
    </row>
    <row r="641" ht="15.75" customHeight="1">
      <c r="C641" s="165"/>
    </row>
    <row r="642" ht="15.75" customHeight="1">
      <c r="C642" s="165"/>
    </row>
    <row r="643" ht="15.75" customHeight="1">
      <c r="C643" s="165"/>
    </row>
    <row r="644" ht="15.75" customHeight="1">
      <c r="C644" s="165"/>
    </row>
    <row r="645" ht="15.75" customHeight="1">
      <c r="C645" s="165"/>
    </row>
    <row r="646" ht="15.75" customHeight="1">
      <c r="C646" s="165"/>
    </row>
    <row r="647" ht="15.75" customHeight="1">
      <c r="C647" s="165"/>
    </row>
    <row r="648" ht="15.75" customHeight="1">
      <c r="C648" s="165"/>
    </row>
    <row r="649" ht="15.75" customHeight="1">
      <c r="C649" s="165"/>
    </row>
    <row r="650" ht="15.75" customHeight="1">
      <c r="C650" s="165"/>
    </row>
    <row r="651" ht="15.75" customHeight="1">
      <c r="C651" s="165"/>
    </row>
    <row r="652" ht="15.75" customHeight="1">
      <c r="C652" s="165"/>
    </row>
    <row r="653" ht="15.75" customHeight="1">
      <c r="C653" s="165"/>
    </row>
    <row r="654" ht="15.75" customHeight="1">
      <c r="C654" s="165"/>
    </row>
    <row r="655" ht="15.75" customHeight="1">
      <c r="C655" s="165"/>
    </row>
    <row r="656" ht="15.75" customHeight="1">
      <c r="C656" s="165"/>
    </row>
    <row r="657" ht="15.75" customHeight="1">
      <c r="C657" s="165"/>
    </row>
    <row r="658" ht="15.75" customHeight="1">
      <c r="C658" s="165"/>
    </row>
    <row r="659" ht="15.75" customHeight="1">
      <c r="C659" s="165"/>
    </row>
    <row r="660" ht="15.75" customHeight="1">
      <c r="C660" s="165"/>
    </row>
    <row r="661" ht="15.75" customHeight="1">
      <c r="C661" s="165"/>
    </row>
    <row r="662" ht="15.75" customHeight="1">
      <c r="C662" s="165"/>
    </row>
    <row r="663" ht="15.75" customHeight="1">
      <c r="C663" s="165"/>
    </row>
    <row r="664" ht="15.75" customHeight="1">
      <c r="C664" s="165"/>
    </row>
    <row r="665" ht="15.75" customHeight="1">
      <c r="C665" s="165"/>
    </row>
    <row r="666" ht="15.75" customHeight="1">
      <c r="C666" s="165"/>
    </row>
    <row r="667" ht="15.75" customHeight="1">
      <c r="C667" s="165"/>
    </row>
    <row r="668" ht="15.75" customHeight="1">
      <c r="C668" s="165"/>
    </row>
    <row r="669" ht="15.75" customHeight="1">
      <c r="C669" s="165"/>
    </row>
    <row r="670" ht="15.75" customHeight="1">
      <c r="C670" s="165"/>
    </row>
    <row r="671" ht="15.75" customHeight="1">
      <c r="C671" s="165"/>
    </row>
    <row r="672" ht="15.75" customHeight="1">
      <c r="C672" s="165"/>
    </row>
    <row r="673" ht="15.75" customHeight="1">
      <c r="C673" s="165"/>
    </row>
    <row r="674" ht="15.75" customHeight="1">
      <c r="C674" s="165"/>
    </row>
    <row r="675" ht="15.75" customHeight="1">
      <c r="C675" s="165"/>
    </row>
    <row r="676" ht="15.75" customHeight="1">
      <c r="C676" s="165"/>
    </row>
    <row r="677" ht="15.75" customHeight="1">
      <c r="C677" s="165"/>
    </row>
    <row r="678" ht="15.75" customHeight="1">
      <c r="C678" s="165"/>
    </row>
    <row r="679" ht="15.75" customHeight="1">
      <c r="C679" s="165"/>
    </row>
    <row r="680" ht="15.75" customHeight="1">
      <c r="C680" s="165"/>
    </row>
    <row r="681" ht="15.75" customHeight="1">
      <c r="C681" s="165"/>
    </row>
    <row r="682" ht="15.75" customHeight="1">
      <c r="C682" s="165"/>
    </row>
    <row r="683" ht="15.75" customHeight="1">
      <c r="C683" s="165"/>
    </row>
    <row r="684" ht="15.75" customHeight="1">
      <c r="C684" s="165"/>
    </row>
    <row r="685" ht="15.75" customHeight="1">
      <c r="C685" s="165"/>
    </row>
    <row r="686" ht="15.75" customHeight="1">
      <c r="C686" s="165"/>
    </row>
    <row r="687" ht="15.75" customHeight="1">
      <c r="C687" s="165"/>
    </row>
    <row r="688" ht="15.75" customHeight="1">
      <c r="C688" s="165"/>
    </row>
    <row r="689" ht="15.75" customHeight="1">
      <c r="C689" s="165"/>
    </row>
    <row r="690" ht="15.75" customHeight="1">
      <c r="C690" s="165"/>
    </row>
    <row r="691" ht="15.75" customHeight="1">
      <c r="C691" s="165"/>
    </row>
    <row r="692" ht="15.75" customHeight="1">
      <c r="C692" s="165"/>
    </row>
    <row r="693" ht="15.75" customHeight="1">
      <c r="C693" s="165"/>
    </row>
    <row r="694" ht="15.75" customHeight="1">
      <c r="C694" s="165"/>
    </row>
    <row r="695" ht="15.75" customHeight="1">
      <c r="C695" s="165"/>
    </row>
    <row r="696" ht="15.75" customHeight="1">
      <c r="C696" s="165"/>
    </row>
    <row r="697" ht="15.75" customHeight="1">
      <c r="C697" s="165"/>
    </row>
    <row r="698" ht="15.75" customHeight="1">
      <c r="C698" s="165"/>
    </row>
    <row r="699" ht="15.75" customHeight="1">
      <c r="C699" s="165"/>
    </row>
    <row r="700" ht="15.75" customHeight="1">
      <c r="C700" s="165"/>
    </row>
    <row r="701" ht="15.75" customHeight="1">
      <c r="C701" s="165"/>
    </row>
    <row r="702" ht="15.75" customHeight="1">
      <c r="C702" s="165"/>
    </row>
    <row r="703" ht="15.75" customHeight="1">
      <c r="C703" s="165"/>
    </row>
    <row r="704" ht="15.75" customHeight="1">
      <c r="C704" s="165"/>
    </row>
    <row r="705" ht="15.75" customHeight="1">
      <c r="C705" s="165"/>
    </row>
    <row r="706" ht="15.75" customHeight="1">
      <c r="C706" s="165"/>
    </row>
    <row r="707" ht="15.75" customHeight="1">
      <c r="C707" s="165"/>
    </row>
    <row r="708" ht="15.75" customHeight="1">
      <c r="C708" s="165"/>
    </row>
    <row r="709" ht="15.75" customHeight="1">
      <c r="C709" s="165"/>
    </row>
    <row r="710" ht="15.75" customHeight="1">
      <c r="C710" s="165"/>
    </row>
    <row r="711" ht="15.75" customHeight="1">
      <c r="C711" s="165"/>
    </row>
    <row r="712" ht="15.75" customHeight="1">
      <c r="C712" s="165"/>
    </row>
    <row r="713" ht="15.75" customHeight="1">
      <c r="C713" s="165"/>
    </row>
    <row r="714" ht="15.75" customHeight="1">
      <c r="C714" s="165"/>
    </row>
    <row r="715" ht="15.75" customHeight="1">
      <c r="C715" s="165"/>
    </row>
    <row r="716" ht="15.75" customHeight="1">
      <c r="C716" s="165"/>
    </row>
    <row r="717" ht="15.75" customHeight="1">
      <c r="C717" s="165"/>
    </row>
    <row r="718" ht="15.75" customHeight="1">
      <c r="C718" s="165"/>
    </row>
    <row r="719" ht="15.75" customHeight="1">
      <c r="C719" s="165"/>
    </row>
    <row r="720" ht="15.75" customHeight="1">
      <c r="C720" s="165"/>
    </row>
    <row r="721" ht="15.75" customHeight="1">
      <c r="C721" s="165"/>
    </row>
    <row r="722" ht="15.75" customHeight="1">
      <c r="C722" s="165"/>
    </row>
    <row r="723" ht="15.75" customHeight="1">
      <c r="C723" s="165"/>
    </row>
    <row r="724" ht="15.75" customHeight="1">
      <c r="C724" s="165"/>
    </row>
    <row r="725" ht="15.75" customHeight="1">
      <c r="C725" s="165"/>
    </row>
    <row r="726" ht="15.75" customHeight="1">
      <c r="C726" s="165"/>
    </row>
    <row r="727" ht="15.75" customHeight="1">
      <c r="C727" s="165"/>
    </row>
    <row r="728" ht="15.75" customHeight="1">
      <c r="C728" s="165"/>
    </row>
    <row r="729" ht="15.75" customHeight="1">
      <c r="C729" s="165"/>
    </row>
    <row r="730" ht="15.75" customHeight="1">
      <c r="C730" s="165"/>
    </row>
    <row r="731" ht="15.75" customHeight="1">
      <c r="C731" s="165"/>
    </row>
    <row r="732" ht="15.75" customHeight="1">
      <c r="C732" s="165"/>
    </row>
    <row r="733" ht="15.75" customHeight="1">
      <c r="C733" s="165"/>
    </row>
    <row r="734" ht="15.75" customHeight="1">
      <c r="C734" s="165"/>
    </row>
    <row r="735" ht="15.75" customHeight="1">
      <c r="C735" s="165"/>
    </row>
    <row r="736" ht="15.75" customHeight="1">
      <c r="C736" s="165"/>
    </row>
    <row r="737" ht="15.75" customHeight="1">
      <c r="C737" s="165"/>
    </row>
    <row r="738" ht="15.75" customHeight="1">
      <c r="C738" s="165"/>
    </row>
    <row r="739" ht="15.75" customHeight="1">
      <c r="C739" s="165"/>
    </row>
    <row r="740" ht="15.75" customHeight="1">
      <c r="C740" s="165"/>
    </row>
    <row r="741" ht="15.75" customHeight="1">
      <c r="C741" s="165"/>
    </row>
    <row r="742" ht="15.75" customHeight="1">
      <c r="C742" s="165"/>
    </row>
    <row r="743" ht="15.75" customHeight="1">
      <c r="C743" s="165"/>
    </row>
    <row r="744" ht="15.75" customHeight="1">
      <c r="C744" s="165"/>
    </row>
    <row r="745" ht="15.75" customHeight="1">
      <c r="C745" s="165"/>
    </row>
    <row r="746" ht="15.75" customHeight="1">
      <c r="C746" s="165"/>
    </row>
    <row r="747" ht="15.75" customHeight="1">
      <c r="C747" s="165"/>
    </row>
    <row r="748" ht="15.75" customHeight="1">
      <c r="C748" s="165"/>
    </row>
    <row r="749" ht="15.75" customHeight="1">
      <c r="C749" s="165"/>
    </row>
    <row r="750" ht="15.75" customHeight="1">
      <c r="C750" s="165"/>
    </row>
    <row r="751" ht="15.75" customHeight="1">
      <c r="C751" s="165"/>
    </row>
    <row r="752" ht="15.75" customHeight="1">
      <c r="C752" s="165"/>
    </row>
    <row r="753" ht="15.75" customHeight="1">
      <c r="C753" s="165"/>
    </row>
    <row r="754" ht="15.75" customHeight="1">
      <c r="C754" s="165"/>
    </row>
    <row r="755" ht="15.75" customHeight="1">
      <c r="C755" s="165"/>
    </row>
    <row r="756" ht="15.75" customHeight="1">
      <c r="C756" s="165"/>
    </row>
    <row r="757" ht="15.75" customHeight="1">
      <c r="C757" s="165"/>
    </row>
    <row r="758" ht="15.75" customHeight="1">
      <c r="C758" s="165"/>
    </row>
    <row r="759" ht="15.75" customHeight="1">
      <c r="C759" s="165"/>
    </row>
    <row r="760" ht="15.75" customHeight="1">
      <c r="C760" s="165"/>
    </row>
    <row r="761" ht="15.75" customHeight="1">
      <c r="C761" s="165"/>
    </row>
    <row r="762" ht="15.75" customHeight="1">
      <c r="C762" s="165"/>
    </row>
    <row r="763" ht="15.75" customHeight="1">
      <c r="C763" s="165"/>
    </row>
    <row r="764" ht="15.75" customHeight="1">
      <c r="C764" s="165"/>
    </row>
    <row r="765" ht="15.75" customHeight="1">
      <c r="C765" s="165"/>
    </row>
    <row r="766" ht="15.75" customHeight="1">
      <c r="C766" s="165"/>
    </row>
    <row r="767" ht="15.75" customHeight="1">
      <c r="C767" s="165"/>
    </row>
    <row r="768" ht="15.75" customHeight="1">
      <c r="C768" s="165"/>
    </row>
    <row r="769" ht="15.75" customHeight="1">
      <c r="C769" s="165"/>
    </row>
    <row r="770" ht="15.75" customHeight="1">
      <c r="C770" s="165"/>
    </row>
    <row r="771" ht="15.75" customHeight="1">
      <c r="C771" s="165"/>
    </row>
    <row r="772" ht="15.75" customHeight="1">
      <c r="C772" s="165"/>
    </row>
    <row r="773" ht="15.75" customHeight="1">
      <c r="C773" s="165"/>
    </row>
    <row r="774" ht="15.75" customHeight="1">
      <c r="C774" s="165"/>
    </row>
    <row r="775" ht="15.75" customHeight="1">
      <c r="C775" s="165"/>
    </row>
    <row r="776" ht="15.75" customHeight="1">
      <c r="C776" s="165"/>
    </row>
    <row r="777" ht="15.75" customHeight="1">
      <c r="C777" s="165"/>
    </row>
    <row r="778" ht="15.75" customHeight="1">
      <c r="C778" s="165"/>
    </row>
    <row r="779" ht="15.75" customHeight="1">
      <c r="C779" s="165"/>
    </row>
    <row r="780" ht="15.75" customHeight="1">
      <c r="C780" s="165"/>
    </row>
    <row r="781" ht="15.75" customHeight="1">
      <c r="C781" s="165"/>
    </row>
    <row r="782" ht="15.75" customHeight="1">
      <c r="C782" s="165"/>
    </row>
    <row r="783" ht="15.75" customHeight="1">
      <c r="C783" s="165"/>
    </row>
    <row r="784" ht="15.75" customHeight="1">
      <c r="C784" s="165"/>
    </row>
    <row r="785" ht="15.75" customHeight="1">
      <c r="C785" s="165"/>
    </row>
    <row r="786" ht="15.75" customHeight="1">
      <c r="C786" s="165"/>
    </row>
    <row r="787" ht="15.75" customHeight="1">
      <c r="C787" s="165"/>
    </row>
    <row r="788" ht="15.75" customHeight="1">
      <c r="C788" s="165"/>
    </row>
    <row r="789" ht="15.75" customHeight="1">
      <c r="C789" s="165"/>
    </row>
    <row r="790" ht="15.75" customHeight="1">
      <c r="C790" s="165"/>
    </row>
    <row r="791" ht="15.75" customHeight="1">
      <c r="C791" s="165"/>
    </row>
    <row r="792" ht="15.75" customHeight="1">
      <c r="C792" s="165"/>
    </row>
    <row r="793" ht="15.75" customHeight="1">
      <c r="C793" s="165"/>
    </row>
    <row r="794" ht="15.75" customHeight="1">
      <c r="C794" s="165"/>
    </row>
    <row r="795" ht="15.75" customHeight="1">
      <c r="C795" s="165"/>
    </row>
    <row r="796" ht="15.75" customHeight="1">
      <c r="C796" s="165"/>
    </row>
    <row r="797" ht="15.75" customHeight="1">
      <c r="C797" s="165"/>
    </row>
    <row r="798" ht="15.75" customHeight="1">
      <c r="C798" s="165"/>
    </row>
    <row r="799" ht="15.75" customHeight="1">
      <c r="C799" s="165"/>
    </row>
    <row r="800" ht="15.75" customHeight="1">
      <c r="C800" s="165"/>
    </row>
    <row r="801" ht="15.75" customHeight="1">
      <c r="C801" s="165"/>
    </row>
    <row r="802" ht="15.75" customHeight="1">
      <c r="C802" s="165"/>
    </row>
    <row r="803" ht="15.75" customHeight="1">
      <c r="C803" s="165"/>
    </row>
    <row r="804" ht="15.75" customHeight="1">
      <c r="C804" s="165"/>
    </row>
    <row r="805" ht="15.75" customHeight="1">
      <c r="C805" s="165"/>
    </row>
    <row r="806" ht="15.75" customHeight="1">
      <c r="C806" s="165"/>
    </row>
    <row r="807" ht="15.75" customHeight="1">
      <c r="C807" s="165"/>
    </row>
    <row r="808" ht="15.75" customHeight="1">
      <c r="C808" s="165"/>
    </row>
    <row r="809" ht="15.75" customHeight="1">
      <c r="C809" s="165"/>
    </row>
    <row r="810" ht="15.75" customHeight="1">
      <c r="C810" s="165"/>
    </row>
    <row r="811" ht="15.75" customHeight="1">
      <c r="C811" s="165"/>
    </row>
    <row r="812" ht="15.75" customHeight="1">
      <c r="C812" s="165"/>
    </row>
    <row r="813" ht="15.75" customHeight="1">
      <c r="C813" s="165"/>
    </row>
    <row r="814" ht="15.75" customHeight="1">
      <c r="C814" s="165"/>
    </row>
    <row r="815" ht="15.75" customHeight="1">
      <c r="C815" s="165"/>
    </row>
    <row r="816" ht="15.75" customHeight="1">
      <c r="C816" s="165"/>
    </row>
    <row r="817" ht="15.75" customHeight="1">
      <c r="C817" s="165"/>
    </row>
    <row r="818" ht="15.75" customHeight="1">
      <c r="C818" s="165"/>
    </row>
    <row r="819" ht="15.75" customHeight="1">
      <c r="C819" s="165"/>
    </row>
    <row r="820" ht="15.75" customHeight="1">
      <c r="C820" s="165"/>
    </row>
    <row r="821" ht="15.75" customHeight="1">
      <c r="C821" s="165"/>
    </row>
    <row r="822" ht="15.75" customHeight="1">
      <c r="C822" s="165"/>
    </row>
    <row r="823" ht="15.75" customHeight="1">
      <c r="C823" s="165"/>
    </row>
    <row r="824" ht="15.75" customHeight="1">
      <c r="C824" s="165"/>
    </row>
    <row r="825" ht="15.75" customHeight="1">
      <c r="C825" s="165"/>
    </row>
    <row r="826" ht="15.75" customHeight="1">
      <c r="C826" s="165"/>
    </row>
    <row r="827" ht="15.75" customHeight="1">
      <c r="C827" s="165"/>
    </row>
    <row r="828" ht="15.75" customHeight="1">
      <c r="C828" s="165"/>
    </row>
    <row r="829" ht="15.75" customHeight="1">
      <c r="C829" s="165"/>
    </row>
    <row r="830" ht="15.75" customHeight="1">
      <c r="C830" s="165"/>
    </row>
    <row r="831" ht="15.75" customHeight="1">
      <c r="C831" s="165"/>
    </row>
    <row r="832" ht="15.75" customHeight="1">
      <c r="C832" s="165"/>
    </row>
    <row r="833" ht="15.75" customHeight="1">
      <c r="C833" s="165"/>
    </row>
    <row r="834" ht="15.75" customHeight="1">
      <c r="C834" s="165"/>
    </row>
    <row r="835" ht="15.75" customHeight="1">
      <c r="C835" s="165"/>
    </row>
    <row r="836" ht="15.75" customHeight="1">
      <c r="C836" s="165"/>
    </row>
    <row r="837" ht="15.75" customHeight="1">
      <c r="C837" s="165"/>
    </row>
    <row r="838" ht="15.75" customHeight="1">
      <c r="C838" s="165"/>
    </row>
    <row r="839" ht="15.75" customHeight="1">
      <c r="C839" s="165"/>
    </row>
    <row r="840" ht="15.75" customHeight="1">
      <c r="C840" s="165"/>
    </row>
    <row r="841" ht="15.75" customHeight="1">
      <c r="C841" s="165"/>
    </row>
    <row r="842" ht="15.75" customHeight="1">
      <c r="C842" s="165"/>
    </row>
    <row r="843" ht="15.75" customHeight="1">
      <c r="C843" s="165"/>
    </row>
    <row r="844" ht="15.75" customHeight="1">
      <c r="C844" s="165"/>
    </row>
    <row r="845" ht="15.75" customHeight="1">
      <c r="C845" s="165"/>
    </row>
    <row r="846" ht="15.75" customHeight="1">
      <c r="C846" s="165"/>
    </row>
    <row r="847" ht="15.75" customHeight="1">
      <c r="C847" s="165"/>
    </row>
    <row r="848" ht="15.75" customHeight="1">
      <c r="C848" s="165"/>
    </row>
    <row r="849" ht="15.75" customHeight="1">
      <c r="C849" s="165"/>
    </row>
    <row r="850" ht="15.75" customHeight="1">
      <c r="C850" s="165"/>
    </row>
    <row r="851" ht="15.75" customHeight="1">
      <c r="C851" s="165"/>
    </row>
    <row r="852" ht="15.75" customHeight="1">
      <c r="C852" s="165"/>
    </row>
    <row r="853" ht="15.75" customHeight="1">
      <c r="C853" s="165"/>
    </row>
    <row r="854" ht="15.75" customHeight="1">
      <c r="C854" s="165"/>
    </row>
    <row r="855" ht="15.75" customHeight="1">
      <c r="C855" s="165"/>
    </row>
    <row r="856" ht="15.75" customHeight="1">
      <c r="C856" s="165"/>
    </row>
    <row r="857" ht="15.75" customHeight="1">
      <c r="C857" s="165"/>
    </row>
    <row r="858" ht="15.75" customHeight="1">
      <c r="C858" s="165"/>
    </row>
    <row r="859" ht="15.75" customHeight="1">
      <c r="C859" s="165"/>
    </row>
    <row r="860" ht="15.75" customHeight="1">
      <c r="C860" s="165"/>
    </row>
    <row r="861" ht="15.75" customHeight="1">
      <c r="C861" s="165"/>
    </row>
    <row r="862" ht="15.75" customHeight="1">
      <c r="C862" s="165"/>
    </row>
    <row r="863" ht="15.75" customHeight="1">
      <c r="C863" s="165"/>
    </row>
    <row r="864" ht="15.75" customHeight="1">
      <c r="C864" s="165"/>
    </row>
    <row r="865" ht="15.75" customHeight="1">
      <c r="C865" s="165"/>
    </row>
    <row r="866" ht="15.75" customHeight="1">
      <c r="C866" s="165"/>
    </row>
    <row r="867" ht="15.75" customHeight="1">
      <c r="C867" s="165"/>
    </row>
    <row r="868" ht="15.75" customHeight="1">
      <c r="C868" s="165"/>
    </row>
    <row r="869" ht="15.75" customHeight="1">
      <c r="C869" s="165"/>
    </row>
    <row r="870" ht="15.75" customHeight="1">
      <c r="C870" s="165"/>
    </row>
    <row r="871" ht="15.75" customHeight="1">
      <c r="C871" s="165"/>
    </row>
    <row r="872" ht="15.75" customHeight="1">
      <c r="C872" s="165"/>
    </row>
    <row r="873" ht="15.75" customHeight="1">
      <c r="C873" s="165"/>
    </row>
    <row r="874" ht="15.75" customHeight="1">
      <c r="C874" s="165"/>
    </row>
    <row r="875" ht="15.75" customHeight="1">
      <c r="C875" s="165"/>
    </row>
    <row r="876" ht="15.75" customHeight="1">
      <c r="C876" s="165"/>
    </row>
    <row r="877" ht="15.75" customHeight="1">
      <c r="C877" s="165"/>
    </row>
    <row r="878" ht="15.75" customHeight="1">
      <c r="C878" s="165"/>
    </row>
    <row r="879" ht="15.75" customHeight="1">
      <c r="C879" s="165"/>
    </row>
    <row r="880" ht="15.75" customHeight="1">
      <c r="C880" s="165"/>
    </row>
    <row r="881" ht="15.75" customHeight="1">
      <c r="C881" s="165"/>
    </row>
    <row r="882" ht="15.75" customHeight="1">
      <c r="C882" s="165"/>
    </row>
    <row r="883" ht="15.75" customHeight="1">
      <c r="C883" s="165"/>
    </row>
    <row r="884" ht="15.75" customHeight="1">
      <c r="C884" s="165"/>
    </row>
    <row r="885" ht="15.75" customHeight="1">
      <c r="C885" s="165"/>
    </row>
    <row r="886" ht="15.75" customHeight="1">
      <c r="C886" s="165"/>
    </row>
    <row r="887" ht="15.75" customHeight="1">
      <c r="C887" s="165"/>
    </row>
    <row r="888" ht="15.75" customHeight="1">
      <c r="C888" s="165"/>
    </row>
    <row r="889" ht="15.75" customHeight="1">
      <c r="C889" s="165"/>
    </row>
    <row r="890" ht="15.75" customHeight="1">
      <c r="C890" s="165"/>
    </row>
    <row r="891" ht="15.75" customHeight="1">
      <c r="C891" s="165"/>
    </row>
    <row r="892" ht="15.75" customHeight="1">
      <c r="C892" s="165"/>
    </row>
    <row r="893" ht="15.75" customHeight="1">
      <c r="C893" s="165"/>
    </row>
    <row r="894" ht="15.75" customHeight="1">
      <c r="C894" s="165"/>
    </row>
    <row r="895" ht="15.75" customHeight="1">
      <c r="C895" s="165"/>
    </row>
    <row r="896" ht="15.75" customHeight="1">
      <c r="C896" s="165"/>
    </row>
    <row r="897" ht="15.75" customHeight="1">
      <c r="C897" s="165"/>
    </row>
    <row r="898" ht="15.75" customHeight="1">
      <c r="C898" s="165"/>
    </row>
    <row r="899" ht="15.75" customHeight="1">
      <c r="C899" s="165"/>
    </row>
    <row r="900" ht="15.75" customHeight="1">
      <c r="C900" s="165"/>
    </row>
    <row r="901" ht="15.75" customHeight="1">
      <c r="C901" s="165"/>
    </row>
    <row r="902" ht="15.75" customHeight="1">
      <c r="C902" s="165"/>
    </row>
    <row r="903" ht="15.75" customHeight="1">
      <c r="C903" s="165"/>
    </row>
    <row r="904" ht="15.75" customHeight="1">
      <c r="C904" s="165"/>
    </row>
    <row r="905" ht="15.75" customHeight="1">
      <c r="C905" s="165"/>
    </row>
    <row r="906" ht="15.75" customHeight="1">
      <c r="C906" s="165"/>
    </row>
    <row r="907" ht="15.75" customHeight="1">
      <c r="C907" s="165"/>
    </row>
    <row r="908" ht="15.75" customHeight="1">
      <c r="C908" s="165"/>
    </row>
    <row r="909" ht="15.75" customHeight="1">
      <c r="C909" s="165"/>
    </row>
    <row r="910" ht="15.75" customHeight="1">
      <c r="C910" s="165"/>
    </row>
    <row r="911" ht="15.75" customHeight="1">
      <c r="C911" s="165"/>
    </row>
    <row r="912" ht="15.75" customHeight="1">
      <c r="C912" s="165"/>
    </row>
    <row r="913" ht="15.75" customHeight="1">
      <c r="C913" s="165"/>
    </row>
    <row r="914" ht="15.75" customHeight="1">
      <c r="C914" s="165"/>
    </row>
    <row r="915" ht="15.75" customHeight="1">
      <c r="C915" s="165"/>
    </row>
    <row r="916" ht="15.75" customHeight="1">
      <c r="C916" s="165"/>
    </row>
    <row r="917" ht="15.75" customHeight="1">
      <c r="C917" s="165"/>
    </row>
    <row r="918" ht="15.75" customHeight="1">
      <c r="C918" s="165"/>
    </row>
    <row r="919" ht="15.75" customHeight="1">
      <c r="C919" s="165"/>
    </row>
    <row r="920" ht="15.75" customHeight="1">
      <c r="C920" s="165"/>
    </row>
    <row r="921" ht="15.75" customHeight="1">
      <c r="C921" s="165"/>
    </row>
    <row r="922" ht="15.75" customHeight="1">
      <c r="C922" s="165"/>
    </row>
    <row r="923" ht="15.75" customHeight="1">
      <c r="C923" s="165"/>
    </row>
    <row r="924" ht="15.75" customHeight="1">
      <c r="C924" s="165"/>
    </row>
    <row r="925" ht="15.75" customHeight="1">
      <c r="C925" s="165"/>
    </row>
    <row r="926" ht="15.75" customHeight="1">
      <c r="C926" s="165"/>
    </row>
    <row r="927" ht="15.75" customHeight="1">
      <c r="C927" s="165"/>
    </row>
    <row r="928" ht="15.75" customHeight="1">
      <c r="C928" s="165"/>
    </row>
    <row r="929" ht="15.75" customHeight="1">
      <c r="C929" s="165"/>
    </row>
    <row r="930" ht="15.75" customHeight="1">
      <c r="C930" s="165"/>
    </row>
    <row r="931" ht="15.75" customHeight="1">
      <c r="C931" s="165"/>
    </row>
    <row r="932" ht="15.75" customHeight="1">
      <c r="C932" s="165"/>
    </row>
    <row r="933" ht="15.75" customHeight="1">
      <c r="C933" s="165"/>
    </row>
    <row r="934" ht="15.75" customHeight="1">
      <c r="C934" s="165"/>
    </row>
    <row r="935" ht="15.75" customHeight="1">
      <c r="C935" s="165"/>
    </row>
    <row r="936" ht="15.75" customHeight="1">
      <c r="C936" s="165"/>
    </row>
    <row r="937" ht="15.75" customHeight="1">
      <c r="C937" s="165"/>
    </row>
    <row r="938" ht="15.75" customHeight="1">
      <c r="C938" s="165"/>
    </row>
    <row r="939" ht="15.75" customHeight="1">
      <c r="C939" s="165"/>
    </row>
    <row r="940" ht="15.75" customHeight="1">
      <c r="C940" s="165"/>
    </row>
    <row r="941" ht="15.75" customHeight="1">
      <c r="C941" s="165"/>
    </row>
    <row r="942" ht="15.75" customHeight="1">
      <c r="C942" s="165"/>
    </row>
    <row r="943" ht="15.75" customHeight="1">
      <c r="C943" s="165"/>
    </row>
    <row r="944" ht="15.75" customHeight="1">
      <c r="C944" s="165"/>
    </row>
    <row r="945" ht="15.75" customHeight="1">
      <c r="C945" s="165"/>
    </row>
    <row r="946" ht="15.75" customHeight="1">
      <c r="C946" s="165"/>
    </row>
    <row r="947" ht="15.75" customHeight="1">
      <c r="C947" s="165"/>
    </row>
    <row r="948" ht="15.75" customHeight="1">
      <c r="C948" s="165"/>
    </row>
    <row r="949" ht="15.75" customHeight="1">
      <c r="C949" s="165"/>
    </row>
    <row r="950" ht="15.75" customHeight="1">
      <c r="C950" s="165"/>
    </row>
    <row r="951" ht="15.75" customHeight="1">
      <c r="C951" s="165"/>
    </row>
    <row r="952" ht="15.75" customHeight="1">
      <c r="C952" s="165"/>
    </row>
    <row r="953" ht="15.75" customHeight="1">
      <c r="C953" s="165"/>
    </row>
    <row r="954" ht="15.75" customHeight="1">
      <c r="C954" s="165"/>
    </row>
    <row r="955" ht="15.75" customHeight="1">
      <c r="C955" s="165"/>
    </row>
    <row r="956" ht="15.75" customHeight="1">
      <c r="C956" s="165"/>
    </row>
    <row r="957" ht="15.75" customHeight="1">
      <c r="C957" s="165"/>
    </row>
    <row r="958" ht="15.75" customHeight="1">
      <c r="C958" s="165"/>
    </row>
    <row r="959" ht="15.75" customHeight="1">
      <c r="C959" s="165"/>
    </row>
    <row r="960" ht="15.75" customHeight="1">
      <c r="C960" s="165"/>
    </row>
    <row r="961" ht="15.75" customHeight="1">
      <c r="C961" s="165"/>
    </row>
    <row r="962" ht="15.75" customHeight="1">
      <c r="C962" s="165"/>
    </row>
    <row r="963" ht="15.75" customHeight="1">
      <c r="C963" s="165"/>
    </row>
    <row r="964" ht="15.75" customHeight="1">
      <c r="C964" s="165"/>
    </row>
    <row r="965" ht="15.75" customHeight="1">
      <c r="C965" s="165"/>
    </row>
    <row r="966" ht="15.75" customHeight="1">
      <c r="C966" s="165"/>
    </row>
    <row r="967" ht="15.75" customHeight="1">
      <c r="C967" s="165"/>
    </row>
    <row r="968" ht="15.75" customHeight="1">
      <c r="C968" s="165"/>
    </row>
    <row r="969" ht="15.75" customHeight="1">
      <c r="C969" s="165"/>
    </row>
    <row r="970" ht="15.75" customHeight="1">
      <c r="C970" s="165"/>
    </row>
    <row r="971" ht="15.75" customHeight="1">
      <c r="C971" s="165"/>
    </row>
    <row r="972" ht="15.75" customHeight="1">
      <c r="C972" s="165"/>
    </row>
    <row r="973" ht="15.75" customHeight="1">
      <c r="C973" s="165"/>
    </row>
    <row r="974" ht="15.75" customHeight="1">
      <c r="C974" s="165"/>
    </row>
    <row r="975" ht="15.75" customHeight="1">
      <c r="C975" s="165"/>
    </row>
    <row r="976" ht="15.75" customHeight="1">
      <c r="C976" s="165"/>
    </row>
    <row r="977" ht="15.75" customHeight="1">
      <c r="C977" s="165"/>
    </row>
    <row r="978" ht="15.75" customHeight="1">
      <c r="C978" s="165"/>
    </row>
    <row r="979" ht="15.75" customHeight="1">
      <c r="C979" s="165"/>
    </row>
    <row r="980" ht="15.75" customHeight="1">
      <c r="C980" s="165"/>
    </row>
    <row r="981" ht="15.75" customHeight="1">
      <c r="C981" s="165"/>
    </row>
    <row r="982" ht="15.75" customHeight="1">
      <c r="C982" s="165"/>
    </row>
    <row r="983" ht="15.75" customHeight="1">
      <c r="C983" s="165"/>
    </row>
    <row r="984" ht="15.75" customHeight="1">
      <c r="C984" s="165"/>
    </row>
    <row r="985" ht="15.75" customHeight="1">
      <c r="C985" s="165"/>
    </row>
    <row r="986" ht="15.75" customHeight="1">
      <c r="C986" s="165"/>
    </row>
    <row r="987" ht="15.75" customHeight="1">
      <c r="C987" s="165"/>
    </row>
    <row r="988" ht="15.75" customHeight="1">
      <c r="C988" s="165"/>
    </row>
    <row r="989" ht="15.75" customHeight="1">
      <c r="C989" s="165"/>
    </row>
    <row r="990" ht="15.75" customHeight="1">
      <c r="C990" s="165"/>
    </row>
    <row r="991" ht="15.75" customHeight="1">
      <c r="C991" s="165"/>
    </row>
    <row r="992" ht="15.75" customHeight="1">
      <c r="C992" s="165"/>
    </row>
    <row r="993" ht="15.75" customHeight="1">
      <c r="C993" s="165"/>
    </row>
    <row r="994" ht="15.75" customHeight="1">
      <c r="C994" s="165"/>
    </row>
    <row r="995" ht="15.75" customHeight="1">
      <c r="C995" s="165"/>
    </row>
    <row r="996" ht="15.75" customHeight="1">
      <c r="C996" s="165"/>
    </row>
    <row r="997" ht="15.75" customHeight="1">
      <c r="C997" s="165"/>
    </row>
    <row r="998" ht="15.75" customHeight="1">
      <c r="C998" s="165"/>
    </row>
    <row r="999" ht="15.75" customHeight="1">
      <c r="C999" s="165"/>
    </row>
    <row r="1000" ht="15.75" customHeight="1">
      <c r="C1000" s="165"/>
    </row>
    <row r="1001" ht="15.75" customHeight="1">
      <c r="C1001" s="165"/>
    </row>
    <row r="1002" ht="15.75" customHeight="1">
      <c r="C1002" s="165"/>
    </row>
    <row r="1003" ht="15.75" customHeight="1">
      <c r="C1003" s="165"/>
    </row>
    <row r="1004" ht="15.75" customHeight="1">
      <c r="C1004" s="165"/>
    </row>
    <row r="1005" ht="15.75" customHeight="1">
      <c r="C1005" s="165"/>
    </row>
    <row r="1006" ht="15.75" customHeight="1">
      <c r="C1006" s="165"/>
    </row>
    <row r="1007" ht="15.75" customHeight="1">
      <c r="C1007" s="165"/>
    </row>
    <row r="1008" ht="15.75" customHeight="1">
      <c r="C1008" s="165"/>
    </row>
    <row r="1009" ht="15.75" customHeight="1">
      <c r="C1009" s="165"/>
    </row>
    <row r="1010" ht="15.75" customHeight="1">
      <c r="C1010" s="165"/>
    </row>
    <row r="1011" ht="15.75" customHeight="1">
      <c r="C1011" s="165"/>
    </row>
    <row r="1012" ht="15.75" customHeight="1">
      <c r="C1012" s="165"/>
    </row>
    <row r="1013" ht="15.75" customHeight="1">
      <c r="C1013" s="165"/>
    </row>
    <row r="1014" ht="15.75" customHeight="1">
      <c r="C1014" s="165"/>
    </row>
    <row r="1015" ht="15.75" customHeight="1">
      <c r="C1015" s="165"/>
    </row>
    <row r="1016" ht="15.75" customHeight="1">
      <c r="C1016" s="165"/>
    </row>
    <row r="1017" ht="15.75" customHeight="1">
      <c r="C1017" s="165"/>
    </row>
    <row r="1018" ht="15.75" customHeight="1">
      <c r="C1018" s="165"/>
    </row>
    <row r="1019" ht="15.75" customHeight="1">
      <c r="C1019" s="165"/>
    </row>
    <row r="1020" ht="15.75" customHeight="1">
      <c r="C1020" s="165"/>
    </row>
    <row r="1021" ht="15.75" customHeight="1">
      <c r="C1021" s="165"/>
    </row>
    <row r="1022" ht="15.75" customHeight="1">
      <c r="C1022" s="165"/>
    </row>
    <row r="1023" ht="15.75" customHeight="1">
      <c r="C1023" s="165"/>
    </row>
    <row r="1024" ht="15.75" customHeight="1">
      <c r="C1024" s="165"/>
    </row>
    <row r="1025" ht="15.75" customHeight="1">
      <c r="C1025" s="165"/>
    </row>
    <row r="1026" ht="15.75" customHeight="1">
      <c r="C1026" s="165"/>
    </row>
    <row r="1027" ht="15.75" customHeight="1">
      <c r="C1027" s="165"/>
    </row>
    <row r="1028" ht="15.75" customHeight="1">
      <c r="C1028" s="165"/>
    </row>
    <row r="1029" ht="15.75" customHeight="1">
      <c r="C1029" s="165"/>
    </row>
    <row r="1030" ht="15.75" customHeight="1">
      <c r="C1030" s="165"/>
    </row>
    <row r="1031" ht="15.75" customHeight="1">
      <c r="C1031" s="165"/>
    </row>
    <row r="1032" ht="15.75" customHeight="1">
      <c r="C1032" s="165"/>
    </row>
    <row r="1033" ht="15.75" customHeight="1">
      <c r="C1033" s="165"/>
    </row>
    <row r="1034" ht="15.75" customHeight="1">
      <c r="C1034" s="165"/>
    </row>
    <row r="1035" ht="15.75" customHeight="1">
      <c r="C1035" s="165"/>
    </row>
    <row r="1036" ht="15.75" customHeight="1">
      <c r="C1036" s="165"/>
    </row>
    <row r="1037" ht="15.75" customHeight="1">
      <c r="C1037" s="165"/>
    </row>
    <row r="1038" ht="15.75" customHeight="1">
      <c r="C1038" s="165"/>
    </row>
    <row r="1039" ht="15.75" customHeight="1">
      <c r="C1039" s="165"/>
    </row>
    <row r="1040" ht="15.75" customHeight="1">
      <c r="C1040" s="165"/>
    </row>
    <row r="1041" ht="15.75" customHeight="1">
      <c r="C1041" s="165"/>
    </row>
    <row r="1042" ht="15.75" customHeight="1">
      <c r="C1042" s="165"/>
    </row>
    <row r="1043" ht="15.75" customHeight="1">
      <c r="C1043" s="165"/>
    </row>
    <row r="1044" ht="15.75" customHeight="1">
      <c r="C1044" s="165"/>
    </row>
    <row r="1045" ht="15.75" customHeight="1">
      <c r="C1045" s="165"/>
    </row>
    <row r="1046" ht="15.75" customHeight="1">
      <c r="C1046" s="165"/>
    </row>
    <row r="1047" ht="15.75" customHeight="1">
      <c r="C1047" s="165"/>
    </row>
    <row r="1048" ht="15.75" customHeight="1">
      <c r="C1048" s="165"/>
    </row>
    <row r="1049" ht="15.75" customHeight="1">
      <c r="C1049" s="165"/>
    </row>
    <row r="1050" ht="15.75" customHeight="1">
      <c r="C1050" s="165"/>
    </row>
    <row r="1051" ht="15.75" customHeight="1">
      <c r="C1051" s="165"/>
    </row>
    <row r="1052" ht="15.75" customHeight="1">
      <c r="C1052" s="165"/>
    </row>
    <row r="1053" ht="15.75" customHeight="1">
      <c r="C1053" s="165"/>
    </row>
    <row r="1054" ht="15.75" customHeight="1">
      <c r="C1054" s="165"/>
    </row>
    <row r="1055" ht="15.75" customHeight="1">
      <c r="C1055" s="165"/>
    </row>
    <row r="1056" ht="15.75" customHeight="1">
      <c r="C1056" s="165"/>
    </row>
    <row r="1057" ht="15.75" customHeight="1">
      <c r="C1057" s="165"/>
    </row>
    <row r="1058" ht="15.75" customHeight="1">
      <c r="C1058" s="165"/>
    </row>
    <row r="1059" ht="15.75" customHeight="1">
      <c r="C1059" s="165"/>
    </row>
    <row r="1060" ht="15.75" customHeight="1">
      <c r="C1060" s="165"/>
    </row>
    <row r="1061" ht="15.75" customHeight="1">
      <c r="C1061" s="165"/>
    </row>
  </sheetData>
  <autoFilter ref="$A$31:$F$43"/>
  <mergeCells count="3">
    <mergeCell ref="A7:H7"/>
    <mergeCell ref="A8:H8"/>
    <mergeCell ref="A31:E31"/>
  </mergeCells>
  <dataValidations>
    <dataValidation type="list" allowBlank="1" showErrorMessage="1" sqref="B33:B42">
      <formula1>"Directo,Indirecto"</formula1>
    </dataValidation>
  </dataValidation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71"/>
    <col customWidth="1" min="3" max="3" width="18.86"/>
    <col customWidth="1" min="4" max="4" width="10.71"/>
    <col customWidth="1" min="5" max="5" width="27.0"/>
    <col customWidth="1" min="6" max="6" width="22.0"/>
    <col customWidth="1" min="7" max="7" width="13.71"/>
    <col customWidth="1" min="8" max="8" width="10.71"/>
    <col customWidth="1" min="9" max="9" width="27.57"/>
    <col customWidth="1" min="10" max="10" width="10.71"/>
    <col customWidth="1" min="11" max="11" width="13.71"/>
    <col customWidth="1" min="12" max="12" width="10.71"/>
    <col customWidth="1" min="13" max="13" width="27.0"/>
    <col customWidth="1" min="14" max="14" width="10.71"/>
    <col customWidth="1" min="15" max="15" width="13.71"/>
    <col customWidth="1" min="16" max="16" width="10.71"/>
    <col customWidth="1" min="17" max="17" width="27.0"/>
    <col customWidth="1" min="18" max="18" width="10.71"/>
    <col customWidth="1" min="19" max="19" width="13.71"/>
    <col customWidth="1" min="20" max="20" width="10.71"/>
    <col customWidth="1" min="21" max="21" width="27.0"/>
    <col customWidth="1" min="22" max="22" width="10.71"/>
    <col customWidth="1" min="23" max="23" width="13.71"/>
    <col customWidth="1" min="24" max="24" width="10.71"/>
    <col customWidth="1" min="25" max="25" width="27.0"/>
    <col customWidth="1" min="26" max="26" width="10.71"/>
    <col customWidth="1" min="27" max="27" width="13.71"/>
  </cols>
  <sheetData>
    <row r="2">
      <c r="F2" s="166"/>
    </row>
    <row r="3">
      <c r="B3" s="167"/>
      <c r="C3" s="167"/>
      <c r="F3" s="168"/>
      <c r="G3" s="168"/>
    </row>
    <row r="4">
      <c r="F4" s="167"/>
      <c r="G4" s="167"/>
      <c r="H4" s="167"/>
      <c r="I4" s="167"/>
    </row>
    <row r="6" ht="22.5" customHeight="1">
      <c r="A6" s="169" t="s">
        <v>94</v>
      </c>
      <c r="B6" s="170" t="s">
        <v>120</v>
      </c>
      <c r="C6" s="170" t="s">
        <v>121</v>
      </c>
      <c r="D6" s="77" t="s">
        <v>98</v>
      </c>
      <c r="E6" s="169" t="s">
        <v>94</v>
      </c>
      <c r="F6" s="170" t="s">
        <v>120</v>
      </c>
      <c r="G6" s="170" t="s">
        <v>121</v>
      </c>
      <c r="I6" s="169" t="s">
        <v>95</v>
      </c>
      <c r="J6" s="170" t="s">
        <v>120</v>
      </c>
      <c r="K6" s="170" t="s">
        <v>121</v>
      </c>
      <c r="M6" s="169" t="s">
        <v>96</v>
      </c>
      <c r="N6" s="170" t="s">
        <v>120</v>
      </c>
      <c r="O6" s="170" t="s">
        <v>121</v>
      </c>
      <c r="Q6" s="171"/>
      <c r="R6" s="171"/>
      <c r="S6" s="171"/>
      <c r="U6" s="169" t="s">
        <v>97</v>
      </c>
      <c r="V6" s="170" t="s">
        <v>120</v>
      </c>
      <c r="W6" s="170" t="s">
        <v>121</v>
      </c>
      <c r="Y6" s="169" t="s">
        <v>24</v>
      </c>
      <c r="Z6" s="170" t="s">
        <v>120</v>
      </c>
      <c r="AA6" s="170" t="s">
        <v>121</v>
      </c>
    </row>
    <row r="7" ht="22.5" customHeight="1">
      <c r="A7" s="172" t="s">
        <v>122</v>
      </c>
      <c r="B7" s="173"/>
      <c r="C7" s="174">
        <v>160.0</v>
      </c>
      <c r="E7" s="172" t="s">
        <v>122</v>
      </c>
      <c r="F7" s="173"/>
      <c r="G7" s="174">
        <v>160.0</v>
      </c>
      <c r="I7" s="172" t="s">
        <v>122</v>
      </c>
      <c r="J7" s="173"/>
      <c r="K7" s="174">
        <v>160.0</v>
      </c>
      <c r="M7" s="172" t="s">
        <v>122</v>
      </c>
      <c r="N7" s="173"/>
      <c r="O7" s="174">
        <v>160.0</v>
      </c>
      <c r="Q7" s="171"/>
      <c r="R7" s="171"/>
      <c r="S7" s="171"/>
      <c r="U7" s="172" t="s">
        <v>122</v>
      </c>
      <c r="V7" s="173"/>
      <c r="W7" s="174">
        <v>160.0</v>
      </c>
      <c r="Y7" s="172" t="s">
        <v>122</v>
      </c>
      <c r="Z7" s="173"/>
      <c r="AA7" s="174">
        <v>160.0</v>
      </c>
    </row>
    <row r="8" ht="22.5" customHeight="1">
      <c r="A8" s="172" t="s">
        <v>123</v>
      </c>
      <c r="B8" s="173"/>
      <c r="C8" s="174">
        <v>4000000.0</v>
      </c>
      <c r="E8" s="172" t="s">
        <v>123</v>
      </c>
      <c r="F8" s="173"/>
      <c r="G8" s="174">
        <v>4000000.0</v>
      </c>
      <c r="I8" s="172" t="s">
        <v>123</v>
      </c>
      <c r="J8" s="173"/>
      <c r="K8" s="174">
        <v>1.2E7</v>
      </c>
      <c r="M8" s="172" t="s">
        <v>123</v>
      </c>
      <c r="N8" s="173"/>
      <c r="O8" s="174">
        <v>4800000.0</v>
      </c>
      <c r="Q8" s="171"/>
      <c r="R8" s="171"/>
      <c r="S8" s="171"/>
      <c r="U8" s="172" t="s">
        <v>123</v>
      </c>
      <c r="V8" s="173"/>
      <c r="W8" s="174">
        <v>3500000.0</v>
      </c>
      <c r="Y8" s="172" t="s">
        <v>123</v>
      </c>
      <c r="Z8" s="173"/>
      <c r="AA8" s="174">
        <v>4000000.0</v>
      </c>
    </row>
    <row r="9" ht="22.5" customHeight="1">
      <c r="A9" s="172" t="s">
        <v>124</v>
      </c>
      <c r="B9" s="175" t="s">
        <v>98</v>
      </c>
      <c r="C9" s="176">
        <v>0.0</v>
      </c>
      <c r="E9" s="172" t="s">
        <v>124</v>
      </c>
      <c r="F9" s="175" t="s">
        <v>98</v>
      </c>
      <c r="G9" s="176">
        <v>0.0</v>
      </c>
      <c r="I9" s="172" t="s">
        <v>124</v>
      </c>
      <c r="J9" s="175" t="s">
        <v>98</v>
      </c>
      <c r="K9" s="176">
        <v>0.0</v>
      </c>
      <c r="M9" s="172" t="s">
        <v>124</v>
      </c>
      <c r="N9" s="175" t="s">
        <v>98</v>
      </c>
      <c r="O9" s="176">
        <v>0.0</v>
      </c>
      <c r="Q9" s="171"/>
      <c r="R9" s="171"/>
      <c r="S9" s="171"/>
      <c r="U9" s="172" t="s">
        <v>124</v>
      </c>
      <c r="V9" s="175" t="s">
        <v>98</v>
      </c>
      <c r="W9" s="176">
        <v>0.0</v>
      </c>
      <c r="Y9" s="172" t="s">
        <v>124</v>
      </c>
      <c r="Z9" s="175" t="s">
        <v>98</v>
      </c>
      <c r="AA9" s="176">
        <v>0.0</v>
      </c>
    </row>
    <row r="10" ht="22.5" customHeight="1">
      <c r="A10" s="172" t="s">
        <v>125</v>
      </c>
      <c r="B10" s="173"/>
      <c r="C10" s="176">
        <f>SUM(C8:C9)</f>
        <v>4000000</v>
      </c>
      <c r="E10" s="172" t="s">
        <v>125</v>
      </c>
      <c r="F10" s="173"/>
      <c r="G10" s="176">
        <f>SUM(G8:G9)</f>
        <v>4000000</v>
      </c>
      <c r="I10" s="172" t="s">
        <v>125</v>
      </c>
      <c r="J10" s="173"/>
      <c r="K10" s="176">
        <f>SUM(K8:K9)</f>
        <v>12000000</v>
      </c>
      <c r="M10" s="172" t="s">
        <v>125</v>
      </c>
      <c r="N10" s="173"/>
      <c r="O10" s="176">
        <f>SUM(O8:O9)</f>
        <v>4800000</v>
      </c>
      <c r="Q10" s="171"/>
      <c r="R10" s="171"/>
      <c r="S10" s="171"/>
      <c r="U10" s="172" t="s">
        <v>125</v>
      </c>
      <c r="V10" s="173"/>
      <c r="W10" s="176">
        <f>SUM(W8:W9)</f>
        <v>3500000</v>
      </c>
      <c r="Y10" s="172" t="s">
        <v>125</v>
      </c>
      <c r="Z10" s="173"/>
      <c r="AA10" s="176">
        <f>SUM(AA8:AA9)</f>
        <v>4000000</v>
      </c>
    </row>
    <row r="11" ht="22.5" customHeight="1">
      <c r="A11" s="172"/>
      <c r="B11" s="173"/>
      <c r="C11" s="176"/>
      <c r="E11" s="172"/>
      <c r="F11" s="173"/>
      <c r="G11" s="176"/>
      <c r="I11" s="177"/>
      <c r="J11" s="173"/>
      <c r="K11" s="176"/>
      <c r="M11" s="172"/>
      <c r="N11" s="173"/>
      <c r="O11" s="176"/>
      <c r="Q11" s="171"/>
      <c r="R11" s="171"/>
      <c r="S11" s="171"/>
      <c r="U11" s="172"/>
      <c r="V11" s="173"/>
      <c r="W11" s="176"/>
      <c r="Y11" s="172"/>
      <c r="Z11" s="173"/>
      <c r="AA11" s="176"/>
    </row>
    <row r="12" ht="22.5" customHeight="1">
      <c r="A12" s="172" t="s">
        <v>126</v>
      </c>
      <c r="B12" s="178">
        <v>0.0833</v>
      </c>
      <c r="C12" s="176">
        <f t="shared" ref="C12:C15" si="1">C$8*B12</f>
        <v>333200</v>
      </c>
      <c r="E12" s="172" t="s">
        <v>126</v>
      </c>
      <c r="F12" s="178">
        <v>0.0833</v>
      </c>
      <c r="G12" s="176">
        <f t="shared" ref="G12:G15" si="2">G$8*F12</f>
        <v>333200</v>
      </c>
      <c r="I12" s="172" t="s">
        <v>126</v>
      </c>
      <c r="J12" s="178">
        <v>0.0833</v>
      </c>
      <c r="K12" s="176">
        <f t="shared" ref="K12:K15" si="3">K$8*J12</f>
        <v>999600</v>
      </c>
      <c r="M12" s="172" t="s">
        <v>126</v>
      </c>
      <c r="N12" s="178">
        <v>0.0833</v>
      </c>
      <c r="O12" s="176">
        <f t="shared" ref="O12:O15" si="4">O$8*N12</f>
        <v>399840</v>
      </c>
      <c r="Q12" s="171"/>
      <c r="R12" s="171"/>
      <c r="S12" s="171"/>
      <c r="U12" s="172" t="s">
        <v>126</v>
      </c>
      <c r="V12" s="178">
        <v>0.0833</v>
      </c>
      <c r="W12" s="176">
        <f t="shared" ref="W12:W15" si="5">W$8*V12</f>
        <v>291550</v>
      </c>
      <c r="Y12" s="172" t="s">
        <v>126</v>
      </c>
      <c r="Z12" s="178">
        <v>0.0833</v>
      </c>
      <c r="AA12" s="176">
        <f t="shared" ref="AA12:AA15" si="6">AA$8*Z12</f>
        <v>333200</v>
      </c>
    </row>
    <row r="13" ht="22.5" customHeight="1">
      <c r="A13" s="172" t="s">
        <v>127</v>
      </c>
      <c r="B13" s="178">
        <v>0.0833</v>
      </c>
      <c r="C13" s="176">
        <f t="shared" si="1"/>
        <v>333200</v>
      </c>
      <c r="E13" s="172" t="s">
        <v>127</v>
      </c>
      <c r="F13" s="178">
        <v>0.0833</v>
      </c>
      <c r="G13" s="176">
        <f t="shared" si="2"/>
        <v>333200</v>
      </c>
      <c r="I13" s="172" t="s">
        <v>127</v>
      </c>
      <c r="J13" s="178">
        <v>0.0833</v>
      </c>
      <c r="K13" s="176">
        <f t="shared" si="3"/>
        <v>999600</v>
      </c>
      <c r="M13" s="172" t="s">
        <v>127</v>
      </c>
      <c r="N13" s="178">
        <v>0.0833</v>
      </c>
      <c r="O13" s="176">
        <f t="shared" si="4"/>
        <v>399840</v>
      </c>
      <c r="Q13" s="171"/>
      <c r="R13" s="171"/>
      <c r="S13" s="171"/>
      <c r="U13" s="172" t="s">
        <v>127</v>
      </c>
      <c r="V13" s="178">
        <v>0.0833</v>
      </c>
      <c r="W13" s="176">
        <f t="shared" si="5"/>
        <v>291550</v>
      </c>
      <c r="Y13" s="172" t="s">
        <v>127</v>
      </c>
      <c r="Z13" s="178">
        <v>0.0833</v>
      </c>
      <c r="AA13" s="176">
        <f t="shared" si="6"/>
        <v>333200</v>
      </c>
    </row>
    <row r="14" ht="22.5" customHeight="1">
      <c r="A14" s="172" t="s">
        <v>128</v>
      </c>
      <c r="B14" s="178">
        <v>0.0012</v>
      </c>
      <c r="C14" s="176">
        <f t="shared" si="1"/>
        <v>4800</v>
      </c>
      <c r="E14" s="172" t="s">
        <v>128</v>
      </c>
      <c r="F14" s="178">
        <v>0.0012</v>
      </c>
      <c r="G14" s="176">
        <f t="shared" si="2"/>
        <v>4800</v>
      </c>
      <c r="I14" s="172" t="s">
        <v>128</v>
      </c>
      <c r="J14" s="178">
        <v>0.0012</v>
      </c>
      <c r="K14" s="176">
        <f t="shared" si="3"/>
        <v>14400</v>
      </c>
      <c r="M14" s="172" t="s">
        <v>128</v>
      </c>
      <c r="N14" s="178">
        <v>0.0012</v>
      </c>
      <c r="O14" s="176">
        <f t="shared" si="4"/>
        <v>5760</v>
      </c>
      <c r="Q14" s="171"/>
      <c r="R14" s="171"/>
      <c r="S14" s="171"/>
      <c r="U14" s="172" t="s">
        <v>128</v>
      </c>
      <c r="V14" s="178">
        <v>0.0012</v>
      </c>
      <c r="W14" s="176">
        <f t="shared" si="5"/>
        <v>4200</v>
      </c>
      <c r="Y14" s="172" t="s">
        <v>128</v>
      </c>
      <c r="Z14" s="178">
        <v>0.0012</v>
      </c>
      <c r="AA14" s="176">
        <f t="shared" si="6"/>
        <v>4800</v>
      </c>
    </row>
    <row r="15" ht="22.5" customHeight="1">
      <c r="A15" s="172" t="s">
        <v>129</v>
      </c>
      <c r="B15" s="175">
        <v>0.04167</v>
      </c>
      <c r="C15" s="176">
        <f t="shared" si="1"/>
        <v>166680</v>
      </c>
      <c r="E15" s="172" t="s">
        <v>129</v>
      </c>
      <c r="F15" s="175">
        <v>0.04167</v>
      </c>
      <c r="G15" s="176">
        <f t="shared" si="2"/>
        <v>166680</v>
      </c>
      <c r="I15" s="172" t="s">
        <v>129</v>
      </c>
      <c r="J15" s="175">
        <v>0.04167</v>
      </c>
      <c r="K15" s="176">
        <f t="shared" si="3"/>
        <v>500040</v>
      </c>
      <c r="M15" s="172" t="s">
        <v>129</v>
      </c>
      <c r="N15" s="175">
        <v>0.04167</v>
      </c>
      <c r="O15" s="176">
        <f t="shared" si="4"/>
        <v>200016</v>
      </c>
      <c r="Q15" s="171"/>
      <c r="R15" s="171"/>
      <c r="S15" s="171"/>
      <c r="U15" s="172" t="s">
        <v>129</v>
      </c>
      <c r="V15" s="175">
        <v>0.04167</v>
      </c>
      <c r="W15" s="176">
        <f t="shared" si="5"/>
        <v>145845</v>
      </c>
      <c r="Y15" s="172" t="s">
        <v>129</v>
      </c>
      <c r="Z15" s="175">
        <v>0.04167</v>
      </c>
      <c r="AA15" s="176">
        <f t="shared" si="6"/>
        <v>166680</v>
      </c>
    </row>
    <row r="16" ht="22.5" customHeight="1">
      <c r="A16" s="172"/>
      <c r="B16" s="173"/>
      <c r="C16" s="176"/>
      <c r="E16" s="172"/>
      <c r="F16" s="173"/>
      <c r="G16" s="176"/>
      <c r="I16" s="177"/>
      <c r="J16" s="173"/>
      <c r="K16" s="176"/>
      <c r="M16" s="172"/>
      <c r="N16" s="173"/>
      <c r="O16" s="176"/>
      <c r="Q16" s="171"/>
      <c r="R16" s="171"/>
      <c r="S16" s="171"/>
      <c r="U16" s="172"/>
      <c r="V16" s="173"/>
      <c r="W16" s="176"/>
      <c r="Y16" s="172"/>
      <c r="Z16" s="173"/>
      <c r="AA16" s="176"/>
    </row>
    <row r="17" ht="22.5" customHeight="1">
      <c r="A17" s="172" t="s">
        <v>130</v>
      </c>
      <c r="B17" s="175">
        <f>SUM(B12:B15)</f>
        <v>0.20947</v>
      </c>
      <c r="C17" s="176">
        <f>SUM(C12:C16)</f>
        <v>837880</v>
      </c>
      <c r="E17" s="172" t="s">
        <v>130</v>
      </c>
      <c r="F17" s="175">
        <f>SUM(F12:F15)</f>
        <v>0.20947</v>
      </c>
      <c r="G17" s="176">
        <f>SUM(G12:G16)</f>
        <v>837880</v>
      </c>
      <c r="I17" s="172" t="s">
        <v>130</v>
      </c>
      <c r="J17" s="175">
        <f>SUM(J12:J15)</f>
        <v>0.20947</v>
      </c>
      <c r="K17" s="176">
        <f>SUM(K12:K16)</f>
        <v>2513640</v>
      </c>
      <c r="M17" s="172" t="s">
        <v>130</v>
      </c>
      <c r="N17" s="175">
        <f>SUM(N12:N15)</f>
        <v>0.20947</v>
      </c>
      <c r="O17" s="176">
        <f>SUM(O12:O16)</f>
        <v>1005456</v>
      </c>
      <c r="Q17" s="171"/>
      <c r="R17" s="171"/>
      <c r="S17" s="171"/>
      <c r="U17" s="172" t="s">
        <v>130</v>
      </c>
      <c r="V17" s="175">
        <f>SUM(V12:V15)</f>
        <v>0.20947</v>
      </c>
      <c r="W17" s="176">
        <f>SUM(W12:W16)</f>
        <v>733145</v>
      </c>
      <c r="Y17" s="172" t="s">
        <v>130</v>
      </c>
      <c r="Z17" s="175">
        <f>SUM(Z12:Z15)</f>
        <v>0.20947</v>
      </c>
      <c r="AA17" s="176">
        <f>SUM(AA12:AA16)</f>
        <v>837880</v>
      </c>
    </row>
    <row r="18" ht="22.5" customHeight="1">
      <c r="A18" s="172"/>
      <c r="B18" s="173"/>
      <c r="C18" s="176"/>
      <c r="E18" s="172"/>
      <c r="F18" s="173"/>
      <c r="G18" s="176"/>
      <c r="I18" s="177"/>
      <c r="J18" s="173"/>
      <c r="K18" s="176"/>
      <c r="M18" s="172"/>
      <c r="N18" s="173"/>
      <c r="O18" s="176"/>
      <c r="Q18" s="171"/>
      <c r="R18" s="171"/>
      <c r="S18" s="171"/>
      <c r="U18" s="172"/>
      <c r="V18" s="173"/>
      <c r="W18" s="176"/>
      <c r="Y18" s="172"/>
      <c r="Z18" s="173"/>
      <c r="AA18" s="176"/>
    </row>
    <row r="19" ht="22.5" customHeight="1">
      <c r="A19" s="172" t="s">
        <v>131</v>
      </c>
      <c r="B19" s="178">
        <v>0.085</v>
      </c>
      <c r="C19" s="176">
        <f t="shared" ref="C19:C22" si="7">C$8*B19</f>
        <v>340000</v>
      </c>
      <c r="E19" s="172" t="s">
        <v>131</v>
      </c>
      <c r="F19" s="178">
        <v>0.085</v>
      </c>
      <c r="G19" s="176">
        <f t="shared" ref="G19:G22" si="8">G$8*F19</f>
        <v>340000</v>
      </c>
      <c r="I19" s="172" t="s">
        <v>131</v>
      </c>
      <c r="J19" s="178">
        <v>0.085</v>
      </c>
      <c r="K19" s="176">
        <f t="shared" ref="K19:K22" si="9">K$8*J19</f>
        <v>1020000</v>
      </c>
      <c r="M19" s="172" t="s">
        <v>131</v>
      </c>
      <c r="N19" s="178">
        <v>0.085</v>
      </c>
      <c r="O19" s="176">
        <f t="shared" ref="O19:O22" si="10">O$8*N19</f>
        <v>408000</v>
      </c>
      <c r="Q19" s="171"/>
      <c r="R19" s="171"/>
      <c r="S19" s="171"/>
      <c r="U19" s="172" t="s">
        <v>131</v>
      </c>
      <c r="V19" s="178">
        <v>0.085</v>
      </c>
      <c r="W19" s="176">
        <f t="shared" ref="W19:W22" si="11">W$8*V19</f>
        <v>297500</v>
      </c>
      <c r="Y19" s="172" t="s">
        <v>131</v>
      </c>
      <c r="Z19" s="178">
        <v>0.085</v>
      </c>
      <c r="AA19" s="176">
        <f t="shared" ref="AA19:AA22" si="12">AA$8*Z19</f>
        <v>340000</v>
      </c>
    </row>
    <row r="20" ht="22.5" customHeight="1">
      <c r="A20" s="172" t="s">
        <v>132</v>
      </c>
      <c r="B20" s="178">
        <v>0.12</v>
      </c>
      <c r="C20" s="176">
        <f t="shared" si="7"/>
        <v>480000</v>
      </c>
      <c r="E20" s="172" t="s">
        <v>132</v>
      </c>
      <c r="F20" s="178">
        <v>0.12</v>
      </c>
      <c r="G20" s="176">
        <f t="shared" si="8"/>
        <v>480000</v>
      </c>
      <c r="I20" s="172" t="s">
        <v>132</v>
      </c>
      <c r="J20" s="178">
        <v>0.12</v>
      </c>
      <c r="K20" s="176">
        <f t="shared" si="9"/>
        <v>1440000</v>
      </c>
      <c r="M20" s="172" t="s">
        <v>132</v>
      </c>
      <c r="N20" s="178">
        <v>0.12</v>
      </c>
      <c r="O20" s="176">
        <f t="shared" si="10"/>
        <v>576000</v>
      </c>
      <c r="Q20" s="171"/>
      <c r="R20" s="171"/>
      <c r="S20" s="171"/>
      <c r="U20" s="172" t="s">
        <v>132</v>
      </c>
      <c r="V20" s="178">
        <v>0.12</v>
      </c>
      <c r="W20" s="176">
        <f t="shared" si="11"/>
        <v>420000</v>
      </c>
      <c r="Y20" s="172" t="s">
        <v>132</v>
      </c>
      <c r="Z20" s="178">
        <v>0.12</v>
      </c>
      <c r="AA20" s="176">
        <f t="shared" si="12"/>
        <v>480000</v>
      </c>
    </row>
    <row r="21" ht="15.75" customHeight="1">
      <c r="A21" s="172" t="s">
        <v>133</v>
      </c>
      <c r="B21" s="178">
        <v>0.09</v>
      </c>
      <c r="C21" s="176">
        <f t="shared" si="7"/>
        <v>360000</v>
      </c>
      <c r="E21" s="172" t="s">
        <v>133</v>
      </c>
      <c r="F21" s="178">
        <v>0.09</v>
      </c>
      <c r="G21" s="176">
        <f t="shared" si="8"/>
        <v>360000</v>
      </c>
      <c r="I21" s="172" t="s">
        <v>133</v>
      </c>
      <c r="J21" s="178">
        <v>0.09</v>
      </c>
      <c r="K21" s="176">
        <f t="shared" si="9"/>
        <v>1080000</v>
      </c>
      <c r="M21" s="172" t="s">
        <v>133</v>
      </c>
      <c r="N21" s="178">
        <v>0.09</v>
      </c>
      <c r="O21" s="176">
        <f t="shared" si="10"/>
        <v>432000</v>
      </c>
      <c r="Q21" s="171"/>
      <c r="R21" s="171"/>
      <c r="S21" s="171"/>
      <c r="U21" s="172" t="s">
        <v>133</v>
      </c>
      <c r="V21" s="178">
        <v>0.09</v>
      </c>
      <c r="W21" s="176">
        <f t="shared" si="11"/>
        <v>315000</v>
      </c>
      <c r="Y21" s="172" t="s">
        <v>133</v>
      </c>
      <c r="Z21" s="178">
        <v>0.09</v>
      </c>
      <c r="AA21" s="176">
        <f t="shared" si="12"/>
        <v>360000</v>
      </c>
    </row>
    <row r="22" ht="15.75" customHeight="1">
      <c r="A22" s="172" t="s">
        <v>134</v>
      </c>
      <c r="B22" s="178">
        <v>0.00522</v>
      </c>
      <c r="C22" s="176">
        <f t="shared" si="7"/>
        <v>20880</v>
      </c>
      <c r="E22" s="172" t="s">
        <v>134</v>
      </c>
      <c r="F22" s="178">
        <v>0.00522</v>
      </c>
      <c r="G22" s="176">
        <f t="shared" si="8"/>
        <v>20880</v>
      </c>
      <c r="I22" s="172" t="s">
        <v>134</v>
      </c>
      <c r="J22" s="178">
        <v>0.00522</v>
      </c>
      <c r="K22" s="176">
        <f t="shared" si="9"/>
        <v>62640</v>
      </c>
      <c r="M22" s="172" t="s">
        <v>134</v>
      </c>
      <c r="N22" s="178">
        <v>0.00522</v>
      </c>
      <c r="O22" s="176">
        <f t="shared" si="10"/>
        <v>25056</v>
      </c>
      <c r="Q22" s="171"/>
      <c r="R22" s="171"/>
      <c r="S22" s="171"/>
      <c r="U22" s="172" t="s">
        <v>134</v>
      </c>
      <c r="V22" s="178">
        <v>0.00522</v>
      </c>
      <c r="W22" s="176">
        <f t="shared" si="11"/>
        <v>18270</v>
      </c>
      <c r="Y22" s="172" t="s">
        <v>134</v>
      </c>
      <c r="Z22" s="178">
        <v>0.00522</v>
      </c>
      <c r="AA22" s="176">
        <f t="shared" si="12"/>
        <v>20880</v>
      </c>
    </row>
    <row r="23" ht="15.75" customHeight="1">
      <c r="A23" s="172"/>
      <c r="B23" s="173"/>
      <c r="C23" s="173"/>
      <c r="E23" s="172"/>
      <c r="F23" s="173"/>
      <c r="G23" s="173"/>
      <c r="I23" s="177"/>
      <c r="J23" s="173"/>
      <c r="K23" s="173"/>
      <c r="M23" s="172"/>
      <c r="N23" s="173"/>
      <c r="O23" s="173"/>
      <c r="Q23" s="171"/>
      <c r="R23" s="171"/>
      <c r="S23" s="171"/>
      <c r="U23" s="172"/>
      <c r="V23" s="173"/>
      <c r="W23" s="173"/>
      <c r="Y23" s="172"/>
      <c r="Z23" s="173"/>
      <c r="AA23" s="173"/>
    </row>
    <row r="24" ht="15.75" customHeight="1">
      <c r="A24" s="172" t="s">
        <v>135</v>
      </c>
      <c r="B24" s="178">
        <f t="shared" ref="B24:C24" si="13">SUM(B19:B23)</f>
        <v>0.30022</v>
      </c>
      <c r="C24" s="176">
        <f t="shared" si="13"/>
        <v>1200880</v>
      </c>
      <c r="E24" s="172" t="s">
        <v>135</v>
      </c>
      <c r="F24" s="178">
        <f t="shared" ref="F24:G24" si="14">SUM(F19:F23)</f>
        <v>0.30022</v>
      </c>
      <c r="G24" s="176">
        <f t="shared" si="14"/>
        <v>1200880</v>
      </c>
      <c r="I24" s="172" t="s">
        <v>135</v>
      </c>
      <c r="J24" s="178">
        <f t="shared" ref="J24:K24" si="15">SUM(J19:J23)</f>
        <v>0.30022</v>
      </c>
      <c r="K24" s="176">
        <f t="shared" si="15"/>
        <v>3602640</v>
      </c>
      <c r="M24" s="172" t="s">
        <v>135</v>
      </c>
      <c r="N24" s="178">
        <f t="shared" ref="N24:O24" si="16">SUM(N19:N23)</f>
        <v>0.30022</v>
      </c>
      <c r="O24" s="176">
        <f t="shared" si="16"/>
        <v>1441056</v>
      </c>
      <c r="Q24" s="171"/>
      <c r="R24" s="171"/>
      <c r="S24" s="171"/>
      <c r="U24" s="172" t="s">
        <v>135</v>
      </c>
      <c r="V24" s="178">
        <f t="shared" ref="V24:W24" si="17">SUM(V19:V23)</f>
        <v>0.30022</v>
      </c>
      <c r="W24" s="176">
        <f t="shared" si="17"/>
        <v>1050770</v>
      </c>
      <c r="Y24" s="172" t="s">
        <v>135</v>
      </c>
      <c r="Z24" s="178">
        <f t="shared" ref="Z24:AA24" si="18">SUM(Z19:Z23)</f>
        <v>0.30022</v>
      </c>
      <c r="AA24" s="176">
        <f t="shared" si="18"/>
        <v>1200880</v>
      </c>
    </row>
    <row r="25" ht="15.75" customHeight="1">
      <c r="A25" s="172"/>
      <c r="B25" s="173"/>
      <c r="C25" s="173"/>
      <c r="E25" s="172"/>
      <c r="F25" s="173"/>
      <c r="G25" s="173"/>
      <c r="I25" s="177"/>
      <c r="J25" s="173"/>
      <c r="K25" s="173"/>
      <c r="M25" s="172"/>
      <c r="N25" s="173"/>
      <c r="O25" s="173"/>
      <c r="Q25" s="171"/>
      <c r="R25" s="171"/>
      <c r="S25" s="171"/>
      <c r="U25" s="172"/>
      <c r="V25" s="173"/>
      <c r="W25" s="173"/>
      <c r="Y25" s="172"/>
      <c r="Z25" s="173"/>
      <c r="AA25" s="173"/>
    </row>
    <row r="26" ht="15.75" customHeight="1">
      <c r="A26" s="172" t="s">
        <v>136</v>
      </c>
      <c r="B26" s="173"/>
      <c r="C26" s="179">
        <f>C10+C17+C24</f>
        <v>6038760</v>
      </c>
      <c r="E26" s="172" t="s">
        <v>136</v>
      </c>
      <c r="F26" s="173"/>
      <c r="G26" s="179">
        <f>G10+G17+G24</f>
        <v>6038760</v>
      </c>
      <c r="I26" s="172" t="s">
        <v>136</v>
      </c>
      <c r="J26" s="173"/>
      <c r="K26" s="179">
        <f>K10+K17+K24</f>
        <v>18116280</v>
      </c>
      <c r="M26" s="172" t="s">
        <v>136</v>
      </c>
      <c r="N26" s="173"/>
      <c r="O26" s="179">
        <f>O10+O17+O24</f>
        <v>7246512</v>
      </c>
      <c r="Q26" s="171"/>
      <c r="R26" s="171"/>
      <c r="S26" s="171"/>
      <c r="U26" s="172" t="s">
        <v>136</v>
      </c>
      <c r="V26" s="173"/>
      <c r="W26" s="179">
        <f>W10+W17+W24</f>
        <v>5283915</v>
      </c>
      <c r="Y26" s="172" t="s">
        <v>136</v>
      </c>
      <c r="Z26" s="173"/>
      <c r="AA26" s="179">
        <f>AA10+AA17+AA24</f>
        <v>6038760</v>
      </c>
    </row>
    <row r="27" ht="15.75" customHeight="1">
      <c r="A27" s="172" t="s">
        <v>137</v>
      </c>
      <c r="B27" s="173"/>
      <c r="C27" s="179">
        <f>C26*12</f>
        <v>72465120</v>
      </c>
      <c r="E27" s="172" t="s">
        <v>137</v>
      </c>
      <c r="F27" s="173"/>
      <c r="G27" s="179">
        <f>G26*12</f>
        <v>72465120</v>
      </c>
      <c r="I27" s="172" t="s">
        <v>137</v>
      </c>
      <c r="J27" s="173"/>
      <c r="K27" s="179">
        <f>K26*12</f>
        <v>217395360</v>
      </c>
      <c r="M27" s="172" t="s">
        <v>137</v>
      </c>
      <c r="N27" s="173"/>
      <c r="O27" s="179">
        <f>O26*12</f>
        <v>86958144</v>
      </c>
      <c r="Q27" s="171"/>
      <c r="R27" s="171"/>
      <c r="S27" s="171"/>
      <c r="U27" s="172" t="s">
        <v>137</v>
      </c>
      <c r="V27" s="173"/>
      <c r="W27" s="179">
        <f>W26*12</f>
        <v>63406980</v>
      </c>
      <c r="Y27" s="172" t="s">
        <v>137</v>
      </c>
      <c r="Z27" s="173"/>
      <c r="AA27" s="179">
        <f>AA26*12</f>
        <v>72465120</v>
      </c>
    </row>
    <row r="28" ht="15.75" customHeight="1">
      <c r="A28" s="172" t="s">
        <v>138</v>
      </c>
      <c r="B28" s="173"/>
      <c r="C28" s="179">
        <f>C26/C7</f>
        <v>37742.25</v>
      </c>
      <c r="E28" s="172" t="s">
        <v>138</v>
      </c>
      <c r="F28" s="173"/>
      <c r="G28" s="179">
        <f>G26/G7</f>
        <v>37742.25</v>
      </c>
      <c r="I28" s="172" t="s">
        <v>138</v>
      </c>
      <c r="J28" s="173"/>
      <c r="K28" s="179">
        <f>K26/K7</f>
        <v>113226.75</v>
      </c>
      <c r="M28" s="172" t="s">
        <v>138</v>
      </c>
      <c r="N28" s="173"/>
      <c r="O28" s="179">
        <f>O26/O7</f>
        <v>45290.7</v>
      </c>
      <c r="Q28" s="171"/>
      <c r="R28" s="171"/>
      <c r="S28" s="171"/>
      <c r="U28" s="172" t="s">
        <v>138</v>
      </c>
      <c r="V28" s="173"/>
      <c r="W28" s="179">
        <f>W26/W7</f>
        <v>33024.46875</v>
      </c>
      <c r="Y28" s="172" t="s">
        <v>138</v>
      </c>
      <c r="Z28" s="173"/>
      <c r="AA28" s="179">
        <f>AA26/AA7</f>
        <v>37742.25</v>
      </c>
    </row>
    <row r="29" ht="15.75" customHeight="1">
      <c r="A29" s="167"/>
      <c r="B29" s="167"/>
      <c r="C29" s="167"/>
    </row>
    <row r="30" ht="15.75" customHeight="1">
      <c r="A30" s="167"/>
      <c r="B30" s="167"/>
      <c r="C30" s="167"/>
    </row>
    <row r="31" ht="15.75" customHeight="1">
      <c r="A31" s="166"/>
      <c r="B31" s="180"/>
      <c r="C31" s="167"/>
    </row>
    <row r="32" ht="15.75" customHeight="1">
      <c r="A32" s="166"/>
      <c r="B32" s="180"/>
      <c r="C32" s="167"/>
    </row>
    <row r="33" ht="15.75" customHeight="1">
      <c r="A33" s="181" t="s">
        <v>139</v>
      </c>
      <c r="B33" s="182">
        <v>1920.0</v>
      </c>
      <c r="C33" s="167"/>
    </row>
    <row r="34" ht="15.75" customHeight="1">
      <c r="A34" s="181" t="s">
        <v>140</v>
      </c>
      <c r="B34" s="182">
        <v>160.0</v>
      </c>
      <c r="C34" s="167"/>
    </row>
    <row r="35" ht="15.75" customHeight="1">
      <c r="A35" s="183" t="s">
        <v>141</v>
      </c>
      <c r="B35" s="25">
        <f>Presupuesto!H26</f>
        <v>44377106</v>
      </c>
    </row>
    <row r="36" ht="15.75" customHeight="1">
      <c r="A36" s="181" t="s">
        <v>142</v>
      </c>
      <c r="B36" s="25">
        <f>B35/B34</f>
        <v>277356.9125</v>
      </c>
    </row>
    <row r="37" ht="15.75" customHeight="1">
      <c r="A37" s="183" t="s">
        <v>143</v>
      </c>
      <c r="B37" s="25">
        <f>B33*B36</f>
        <v>532525272</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dataValidations>
    <dataValidation allowBlank="1" showDropDown="1" sqref="I7:I27"/>
  </dataValidations>
  <printOptions/>
  <pageMargins bottom="0.75" footer="0.0" header="0.0" left="0.7" right="0.7" top="0.75"/>
  <pageSetup orientation="landscape"/>
  <drawing r:id="rId1"/>
  <tableParts count="6">
    <tablePart r:id="rId8"/>
    <tablePart r:id="rId9"/>
    <tablePart r:id="rId10"/>
    <tablePart r:id="rId11"/>
    <tablePart r:id="rId12"/>
    <tablePart r:id="rId1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2008-07-30T16:49:19Z</dcterms:created>
  <dc:creator>USER</dc:creator>
</cp:coreProperties>
</file>