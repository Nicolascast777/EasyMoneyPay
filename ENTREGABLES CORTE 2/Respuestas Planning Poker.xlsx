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<sst xmlns="http://schemas.openxmlformats.org/spreadsheetml/2006/main" count="42" uniqueCount="42">
  <si>
    <t>Marca temporal</t>
  </si>
  <si>
    <t>Integrante</t>
  </si>
  <si>
    <r>
      <rPr>
        <rFont val="Arial"/>
        <color theme="1"/>
        <u/>
      </rPr>
      <t>HU001 Escaneo del QR</t>
    </r>
    <r>
      <rPr>
        <rFont val="Arial"/>
        <color theme="1"/>
      </rPr>
      <t xml:space="preserve"> 
Como usuario consumidor quiero entrar al sistema para poder dividir el monto total de la cuenta entre n usuarios de la misma mesa.</t>
    </r>
  </si>
  <si>
    <r>
      <rPr>
        <rFont val="Arial"/>
        <color theme="1"/>
        <u/>
      </rPr>
      <t>HU002 Ingreso de más consumidores a una misma mesa</t>
    </r>
    <r>
      <rPr>
        <rFont val="Arial"/>
        <color theme="1"/>
      </rPr>
      <t xml:space="preserve">
Como usuario consumidor quiero ingresar al sistema escaneando el QR para ser parte de una mesa que ya tiene asignado un primer usuario.</t>
    </r>
  </si>
  <si>
    <r>
      <rPr>
        <rFont val="Arial"/>
        <color theme="1"/>
        <u/>
      </rPr>
      <t>HU003 División de la cuenta</t>
    </r>
    <r>
      <rPr>
        <rFont val="Arial"/>
        <color theme="1"/>
      </rPr>
      <t xml:space="preserve">
Al ingresar a una misma mesa el sistema debe ir dividiendo el monto total de la cuenta según el número n de usuarios pertenecientes a la misma orden.</t>
    </r>
  </si>
  <si>
    <r>
      <rPr>
        <rFont val="Arial"/>
        <color theme="1"/>
        <u/>
      </rPr>
      <t>HU004 Agregar productos a un único usuario</t>
    </r>
    <r>
      <rPr>
        <rFont val="Arial"/>
        <color theme="1"/>
      </rPr>
      <t xml:space="preserve">
Como usuario consumidor quiero tener la posibilidad de agregar un producto que yo haya pedido solo para mí, para que su precio no esté incluido en el monto total grupal.</t>
    </r>
  </si>
  <si>
    <r>
      <rPr>
        <rFont val="Arial"/>
        <color theme="1"/>
        <u/>
      </rPr>
      <t>HU005 Selección método de pago</t>
    </r>
    <r>
      <rPr>
        <rFont val="Arial"/>
        <color theme="1"/>
      </rPr>
      <t xml:space="preserve">
Como usuario consumidor quiero seleccionar qué método de pago utilizaré.</t>
    </r>
  </si>
  <si>
    <r>
      <rPr>
        <rFont val="Arial"/>
        <color theme="1"/>
        <u/>
      </rPr>
      <t>HU006 Selección de roles</t>
    </r>
    <r>
      <rPr>
        <rFont val="Arial"/>
        <color theme="1"/>
      </rPr>
      <t xml:space="preserve">
Como administrador quiero que el sistema me permita seleccionar entre los diferentes roles que existan en él.</t>
    </r>
  </si>
  <si>
    <r>
      <rPr>
        <rFont val="Arial"/>
        <color theme="1"/>
        <u/>
      </rPr>
      <t>HU007 Historial de transacciones</t>
    </r>
    <r>
      <rPr>
        <rFont val="Arial"/>
        <color theme="1"/>
      </rPr>
      <t xml:space="preserve">
Como administrador quiero que en el sistema pueda revisar cuántos pagos se han realizado, con ID de compra y nombre del usuario.</t>
    </r>
  </si>
  <si>
    <r>
      <rPr>
        <rFont val="Arial"/>
        <color theme="1"/>
        <u/>
      </rPr>
      <t>HU008 Verificación de pago por el cajero</t>
    </r>
    <r>
      <rPr>
        <rFont val="Arial"/>
        <color theme="1"/>
      </rPr>
      <t xml:space="preserve">
Como cajero quiero poder verificar en tiempo real que el usuario ya realizó el pago.</t>
    </r>
  </si>
  <si>
    <r>
      <rPr>
        <rFont val="Arial"/>
        <color theme="1"/>
        <u/>
      </rPr>
      <t>HU009 Método de pago — efectivo</t>
    </r>
    <r>
      <rPr>
        <rFont val="Arial"/>
        <color theme="1"/>
      </rPr>
      <t xml:space="preserve">
Como usuario consumidor quiero pagar por efectivo, acercándome a la caja, y que este método quede validado en el software.</t>
    </r>
  </si>
  <si>
    <r>
      <rPr>
        <rFont val="Arial"/>
        <color theme="1"/>
        <u/>
      </rPr>
      <t>HU010 Verificación pago por efectivo</t>
    </r>
    <r>
      <rPr>
        <rFont val="Arial"/>
        <color theme="1"/>
      </rPr>
      <t xml:space="preserve">
Como cajero quiero ingresar que el usuario n de una mesa realizó el pago por efectivo mediante un código de un solo uso.</t>
    </r>
  </si>
  <si>
    <r>
      <rPr>
        <rFont val="Arial"/>
        <color theme="1"/>
        <u/>
      </rPr>
      <t>HU011 Verificación de pago al cliente principal</t>
    </r>
    <r>
      <rPr>
        <rFont val="Arial"/>
        <color theme="1"/>
      </rPr>
      <t xml:space="preserve">
Como usuario quiero que se me verifique que ya realicé el pago, una vez que todos los usuarios de la mesa hayan pagado.</t>
    </r>
  </si>
  <si>
    <r>
      <rPr>
        <rFont val="Arial"/>
        <color theme="1"/>
        <u/>
      </rPr>
      <t>HU012 Ticket virtual</t>
    </r>
    <r>
      <rPr>
        <rFont val="Arial"/>
        <color theme="1"/>
      </rPr>
      <t xml:space="preserve">
Como usuario quiero que me llegue un ticket al correo con el resumen de mi compra.</t>
    </r>
  </si>
  <si>
    <r>
      <rPr>
        <rFont val="Arial"/>
        <color theme="1"/>
        <u/>
      </rPr>
      <t>HU013 Validación por código de factura</t>
    </r>
    <r>
      <rPr>
        <rFont val="Arial"/>
        <color theme="1"/>
      </rPr>
      <t xml:space="preserve">
Como usuario consumidor quiero ingresar manualmente mi número de orden impreso en el recibo físico para validar que estoy en la cuenta correcta.</t>
    </r>
  </si>
  <si>
    <r>
      <rPr>
        <rFont val="Arial"/>
        <color theme="1"/>
        <u/>
      </rPr>
      <t>HU014 Visualización de la cuenta</t>
    </r>
    <r>
      <rPr>
        <rFont val="Arial"/>
        <color theme="1"/>
      </rPr>
      <t xml:space="preserve">
Como usuario consumidor quiero ver los productos que pedimos para saber exactamente qué estoy pagando, con detalle de ítems y subtotal.</t>
    </r>
  </si>
  <si>
    <r>
      <rPr>
        <rFont val="Arial"/>
        <color theme="1"/>
        <u/>
      </rPr>
      <t>HU015 Conexión con sistema de comandas</t>
    </r>
    <r>
      <rPr>
        <rFont val="Arial"/>
        <color theme="1"/>
      </rPr>
      <t xml:space="preserve">
Como usuario consumidor quiero conectarme al sistema de comandas del restaurante para que mi información de pedidos esté disponible automáticamente.</t>
    </r>
  </si>
  <si>
    <r>
      <rPr>
        <rFont val="Arial"/>
        <color theme="1"/>
        <u/>
      </rPr>
      <t>HU016 Pago individual de ítem</t>
    </r>
    <r>
      <rPr>
        <rFont val="Arial"/>
        <color theme="1"/>
      </rPr>
      <t xml:space="preserve">
Como usuario consumidor quiero asumir el 100% del pago de un producto específico para cubrir el gasto de otro integrante de la mesa.</t>
    </r>
  </si>
  <si>
    <r>
      <rPr>
        <rFont val="Arial"/>
        <color theme="1"/>
        <u/>
      </rPr>
      <t>HU017 Redirección a pasarela de pagos</t>
    </r>
    <r>
      <rPr>
        <rFont val="Arial"/>
        <color theme="1"/>
      </rPr>
      <t xml:space="preserve">
Como usuario consumidor quiero ser redirigido a una pasarela de pagos para poder cancelar mi parte de la cuenta de forma digital.
</t>
    </r>
  </si>
  <si>
    <r>
      <rPr>
        <rFont val="Arial"/>
        <color theme="1"/>
        <u/>
      </rPr>
      <t>HU018 Confirmación de pago al cajero</t>
    </r>
    <r>
      <rPr>
        <rFont val="Arial"/>
        <color theme="1"/>
      </rPr>
      <t xml:space="preserve">
Como cajero quiero recibir una confirmación automática cuando todos los usuarios de la mesa hayan pagado para poder cerrar la mesa formalmente.</t>
    </r>
  </si>
  <si>
    <r>
      <rPr>
        <rFont val="Arial"/>
        <color theme="1"/>
        <u/>
      </rPr>
      <t>HU019 Compatibilidad con dispositivos</t>
    </r>
    <r>
      <rPr>
        <rFont val="Arial"/>
        <color theme="1"/>
      </rPr>
      <t xml:space="preserve">
Como usuario consumidor quiero que el sistema sea compatible con mi celular Android o iPhone para poder usarlo sin problemas.</t>
    </r>
  </si>
  <si>
    <r>
      <rPr>
        <rFont val="Arial"/>
        <color theme="1"/>
        <u/>
      </rPr>
      <t>HU020 Carga rápida de información</t>
    </r>
    <r>
      <rPr>
        <rFont val="Arial"/>
        <color theme="1"/>
      </rPr>
      <t xml:space="preserve">
Como usuario consumidor quiero que la información de mi cuenta cargue rápidamente para no generar esperas en el restaurante.</t>
    </r>
  </si>
  <si>
    <r>
      <rPr>
        <rFont val="Arial"/>
        <color theme="1"/>
        <u/>
      </rPr>
      <t>HU021 Estabilidad del sistema</t>
    </r>
    <r>
      <rPr>
        <rFont val="Arial"/>
        <color theme="1"/>
      </rPr>
      <t xml:space="preserve">
Como dueño del restaurante quiero que el sistema sea estable y sin errores durante su uso para no interrumpir la operación del negocio.</t>
    </r>
  </si>
  <si>
    <r>
      <rPr>
        <rFont val="Arial"/>
        <color theme="1"/>
        <u/>
      </rPr>
      <t>HU022 Seguridad en pagos</t>
    </r>
    <r>
      <rPr>
        <rFont val="Arial"/>
        <color theme="1"/>
      </rPr>
      <t xml:space="preserve">
Como usuario consumidor quiero que mis datos de pago estén protegidos para realizar transacciones con confianza.</t>
    </r>
  </si>
  <si>
    <t>Juan Fernando</t>
  </si>
  <si>
    <t>Emmanuel</t>
  </si>
  <si>
    <t>Nicolas Castellanos</t>
  </si>
  <si>
    <t>Leonardo</t>
  </si>
  <si>
    <t>Miguel</t>
  </si>
  <si>
    <t>Resultado Final - Planning Poker</t>
  </si>
  <si>
    <t>HUs</t>
  </si>
  <si>
    <t>Mayores Promedios por Categoria (5)</t>
  </si>
  <si>
    <t>Mayor puntuacion (Priorizar)</t>
  </si>
  <si>
    <t>1, 3, 5, 8, 11</t>
  </si>
  <si>
    <t>3, 5, 8, 11, 1</t>
  </si>
  <si>
    <t>Puntuacion media (Necesario)</t>
  </si>
  <si>
    <t>2, 9, 10, 13, 14, 15, 16, 17, 18, 19, 21, 22</t>
  </si>
  <si>
    <t>14, 17, 2, 21, 15</t>
  </si>
  <si>
    <t>Puntuacion baja (Sin urgencia)</t>
  </si>
  <si>
    <t>4, 6, 7, 12, 20</t>
  </si>
  <si>
    <t>20, 7, 6, 12, 4</t>
  </si>
  <si>
    <t>En este caso, son las 5 con promedio más bajo.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</si>
</sst>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fonts>
  <fills count="6">
    <fill>
      <patternFill patternType="none"/>
    </fill>
    <fill>
      <patternFill patternType="lightGray"/>
    </fill>
    <fill>
      <patternFill patternType="solid">
        <fgColor rgb="FF9900FF"/>
        <bgColor rgb="FF9900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1" numFmtId="0" xfId="0" applyBorder="1" applyFont="1"/>
    <xf borderId="4" fillId="2" fontId="1" numFmtId="0" xfId="0" applyAlignment="1" applyBorder="1" applyFont="1">
      <alignment horizontal="center" readingOrder="0"/>
    </xf>
    <xf borderId="4" fillId="3" fontId="1" numFmtId="0" xfId="0" applyAlignment="1" applyBorder="1" applyFill="1" applyFont="1">
      <alignment horizontal="center" readingOrder="0"/>
    </xf>
    <xf borderId="4" fillId="0" fontId="1" numFmtId="0" xfId="0" applyAlignment="1" applyBorder="1" applyFont="1">
      <alignment horizontal="center" readingOrder="0"/>
    </xf>
    <xf borderId="4" fillId="4" fontId="1" numFmtId="0" xfId="0" applyAlignment="1" applyBorder="1" applyFill="1" applyFont="1">
      <alignment horizontal="center" readingOrder="0"/>
    </xf>
    <xf borderId="4" fillId="5" fontId="1" numFmtId="0" xfId="0" applyAlignment="1" applyBorder="1" applyFill="1" applyFont="1">
      <alignment horizontal="center" readingOrder="0"/>
    </xf>
    <xf borderId="0" fillId="0" fontId="1" numFmtId="0" xfId="0" applyAlignment="1" applyFont="1">
      <alignment horizontal="center" readingOrder="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D6CFE0"/>
          <bgColor rgb="FFD6CFE0"/>
        </patternFill>
      </fill>
      <border/>
    </dxf>
    <dxf>
      <border>
        <left style="thin">
          <color rgb="FF5B3F86"/>
        </left>
        <right style="thin">
          <color rgb="FF5B3F86"/>
        </right>
        <top style="thin">
          <color rgb="FF5B3F86"/>
        </top>
        <bottom style="thin">
          <color rgb="FF5B3F86"/>
        </bottom>
      </border>
    </dxf>
  </dxfs>
  <tableStyles count="1">
    <tableStyle count="5" pivot="0" name="Respuestas de formulario 1-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X7" displayName="Form_Responses" name="Form_Responses" id="1">
  <tableColumns count="24">
    <tableColumn name="Marca temporal" id="1"/>
    <tableColumn name="Integrante" id="2"/>
    <tableColumn totalsRowFunction="custom" name="HU001 Escaneo del QR _x000a__x000a_Como usuario consumidor quiero entrar al sistema para poder dividir el monto total de la cuenta entre n usuarios de la misma mesa." id="3"/>
    <tableColumn totalsRowFunction="custom" name="HU002 Ingreso de más consumidores a una misma mesa_x000a__x000a_Como usuario consumidor quiero ingresar al sistema escaneando el QR para ser parte de una mesa que ya tiene asignado un primer usuario." id="4"/>
    <tableColumn totalsRowFunction="custom" name="HU003 División de la cuenta_x000a__x000a_Al ingresar a una misma mesa el sistema debe ir dividiendo el monto total de la cuenta según el número n de usuarios pertenecientes a la misma orden." id="5"/>
    <tableColumn totalsRowFunction="custom" name="HU004 Agregar productos a un único usuario_x000a__x000a_Como usuario consumidor quiero tener la posibilidad de agregar un producto que yo haya pedido solo para mí, para que su precio no esté incluido en el monto total grupal." id="6"/>
    <tableColumn totalsRowFunction="custom" name="HU005 Selección método de pago_x000a__x000a_Como usuario consumidor quiero seleccionar qué método de pago utilizaré." id="7"/>
    <tableColumn totalsRowFunction="custom" name="HU006 Selección de roles_x000a__x000a_Como administrador quiero que el sistema me permita seleccionar entre los diferentes roles que existan en él." id="8"/>
    <tableColumn totalsRowFunction="custom" name="HU007 Historial de transacciones_x000a__x000a_Como administrador quiero que en el sistema pueda revisar cuántos pagos se han realizado, con ID de compra y nombre del usuario." id="9"/>
    <tableColumn totalsRowFunction="custom" name="HU008 Verificación de pago por el cajero_x000a__x000a_Como cajero quiero poder verificar en tiempo real que el usuario ya realizó el pago." id="10"/>
    <tableColumn totalsRowFunction="custom" name="HU009 Método de pago — efectivo_x000a__x000a_Como usuario consumidor quiero pagar por efectivo, acercándome a la caja, y que este método quede validado en el software." id="11"/>
    <tableColumn totalsRowFunction="custom" name="HU010 Verificación pago por efectivo_x000a__x000a_Como cajero quiero ingresar que el usuario n de una mesa realizó el pago por efectivo mediante un código de un solo uso." id="12"/>
    <tableColumn totalsRowFunction="custom" name="HU011 Verificación de pago al cliente principal_x000a__x000a_Como usuario quiero que se me verifique que ya realicé el pago, una vez que todos los usuarios de la mesa hayan pagado." id="13"/>
    <tableColumn totalsRowFunction="custom" name="HU012 Ticket virtual_x000a__x000a_Como usuario quiero que me llegue un ticket al correo con el resumen de mi compra." id="14"/>
    <tableColumn totalsRowFunction="custom" name="HU013 Validación por código de factura_x000a__x000a_Como usuario consumidor quiero ingresar manualmente mi número de orden impreso en el recibo físico para validar que estoy en la cuenta correcta." id="15"/>
    <tableColumn totalsRowFunction="custom" name="HU014 Visualización de la cuenta_x000a__x000a_Como usuario consumidor quiero ver los productos que pedimos para saber exactamente qué estoy pagando, con detalle de ítems y subtotal." id="16"/>
    <tableColumn totalsRowFunction="custom" name="HU015 Conexión con sistema de comandas_x000a__x000a_Como usuario consumidor quiero conectarme al sistema de comandas del restaurante para que mi información de pedidos esté disponible automáticamente." id="17"/>
    <tableColumn totalsRowFunction="custom" name="HU016 Pago individual de ítem_x000a__x000a_Como usuario consumidor quiero asumir el 100% del pago de un producto específico para cubrir el gasto de otro integrante de la mesa." id="18"/>
    <tableColumn totalsRowFunction="custom" name="HU017 Redirección a pasarela de pagos_x000a__x000a_Como usuario consumidor quiero ser redirigido a una pasarela de pagos para poder cancelar mi parte de la cuenta de forma digital._x000a_" id="19"/>
    <tableColumn totalsRowFunction="custom" name="HU018 Confirmación de pago al cajero_x000a__x000a_Como cajero quiero recibir una confirmación automática cuando todos los usuarios de la mesa hayan pagado para poder cerrar la mesa formalmente." id="20"/>
    <tableColumn totalsRowFunction="custom" name="HU019 Compatibilidad con dispositivos_x000a__x000a_Como usuario consumidor quiero que el sistema sea compatible con mi celular Android o iPhone para poder usarlo sin problemas." id="21"/>
    <tableColumn totalsRowFunction="custom" name="HU020 Carga rápida de información_x000a__x000a_Como usuario consumidor quiero que la información de mi cuenta cargue rápidamente para no generar esperas en el restaurante." id="22"/>
    <tableColumn totalsRowFunction="custom" name="HU021 Estabilidad del sistema_x000a__x000a_Como dueño del restaurante quiero que el sistema sea estable y sin errores durante su uso para no interrumpir la operación del negocio." id="23"/>
    <tableColumn totalsRowFunction="custom" name="HU022 Seguridad en pagos_x000a__x000a_Como usuario consumidor quiero que mis datos de pago estén protegidos para realizar transacciones con confianza." id="2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32.0"/>
    <col customWidth="1" min="3" max="24" width="37.63"/>
    <col customWidth="1" min="25"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2"/>
      <c r="B2" s="3" t="s">
        <v>24</v>
      </c>
      <c r="C2" s="3">
        <v>3.0</v>
      </c>
      <c r="D2" s="3">
        <v>5.0</v>
      </c>
      <c r="E2" s="3">
        <v>8.0</v>
      </c>
      <c r="F2" s="3">
        <v>5.0</v>
      </c>
      <c r="G2" s="3">
        <v>8.0</v>
      </c>
      <c r="H2" s="3">
        <v>5.0</v>
      </c>
      <c r="I2" s="3">
        <v>8.0</v>
      </c>
      <c r="J2" s="3">
        <v>8.0</v>
      </c>
      <c r="K2" s="3">
        <v>5.0</v>
      </c>
      <c r="L2" s="3">
        <v>8.0</v>
      </c>
      <c r="M2" s="3">
        <v>8.0</v>
      </c>
      <c r="N2" s="3">
        <v>5.0</v>
      </c>
      <c r="O2" s="3">
        <v>5.0</v>
      </c>
      <c r="P2" s="3">
        <v>5.0</v>
      </c>
      <c r="Q2" s="3">
        <v>5.0</v>
      </c>
      <c r="R2" s="3">
        <v>3.0</v>
      </c>
      <c r="S2" s="3">
        <v>5.0</v>
      </c>
      <c r="T2" s="3">
        <v>5.0</v>
      </c>
      <c r="U2" s="3">
        <v>8.0</v>
      </c>
      <c r="V2" s="3">
        <v>8.0</v>
      </c>
      <c r="W2" s="3">
        <v>8.0</v>
      </c>
      <c r="X2" s="3">
        <v>8.0</v>
      </c>
    </row>
    <row r="3" ht="22.5" customHeight="1">
      <c r="A3" s="4"/>
      <c r="B3" s="5" t="s">
        <v>25</v>
      </c>
      <c r="C3" s="5">
        <v>8.0</v>
      </c>
      <c r="D3" s="5">
        <v>5.0</v>
      </c>
      <c r="E3" s="5">
        <v>8.0</v>
      </c>
      <c r="F3" s="5">
        <v>3.0</v>
      </c>
      <c r="G3" s="5">
        <v>8.0</v>
      </c>
      <c r="H3" s="5">
        <v>3.0</v>
      </c>
      <c r="I3" s="5">
        <v>1.0</v>
      </c>
      <c r="J3" s="5">
        <v>5.0</v>
      </c>
      <c r="K3" s="5">
        <v>3.0</v>
      </c>
      <c r="L3" s="5">
        <v>2.0</v>
      </c>
      <c r="M3" s="5">
        <v>5.0</v>
      </c>
      <c r="N3" s="5">
        <v>3.0</v>
      </c>
      <c r="O3" s="5">
        <v>8.0</v>
      </c>
      <c r="P3" s="5">
        <v>8.0</v>
      </c>
      <c r="Q3" s="5">
        <v>1.0</v>
      </c>
      <c r="R3" s="5">
        <v>3.0</v>
      </c>
      <c r="S3" s="5">
        <v>8.0</v>
      </c>
      <c r="T3" s="5">
        <v>5.0</v>
      </c>
      <c r="U3" s="5">
        <v>1.0</v>
      </c>
      <c r="V3" s="5">
        <v>1.0</v>
      </c>
      <c r="W3" s="5">
        <v>3.0</v>
      </c>
      <c r="X3" s="5">
        <v>1.0</v>
      </c>
    </row>
    <row r="4" ht="22.5" customHeight="1">
      <c r="A4" s="4"/>
      <c r="B4" s="5" t="s">
        <v>26</v>
      </c>
      <c r="C4" s="5">
        <v>5.0</v>
      </c>
      <c r="D4" s="5">
        <v>8.0</v>
      </c>
      <c r="E4" s="5">
        <v>8.0</v>
      </c>
      <c r="F4" s="5">
        <v>3.0</v>
      </c>
      <c r="G4" s="5">
        <v>8.0</v>
      </c>
      <c r="H4" s="5">
        <v>3.0</v>
      </c>
      <c r="I4" s="5">
        <v>3.0</v>
      </c>
      <c r="J4" s="5">
        <v>8.0</v>
      </c>
      <c r="K4" s="5">
        <v>3.0</v>
      </c>
      <c r="L4" s="5">
        <v>2.0</v>
      </c>
      <c r="M4" s="5">
        <v>5.0</v>
      </c>
      <c r="N4" s="5">
        <v>1.0</v>
      </c>
      <c r="O4" s="5">
        <v>5.0</v>
      </c>
      <c r="P4" s="5">
        <v>5.0</v>
      </c>
      <c r="Q4" s="5">
        <v>5.0</v>
      </c>
      <c r="R4" s="5">
        <v>8.0</v>
      </c>
      <c r="S4" s="5">
        <v>1.0</v>
      </c>
      <c r="T4" s="5">
        <v>1.0</v>
      </c>
      <c r="U4" s="5">
        <v>1.0</v>
      </c>
      <c r="V4" s="5">
        <v>1.0</v>
      </c>
      <c r="W4" s="5">
        <v>1.0</v>
      </c>
      <c r="X4" s="5">
        <v>1.0</v>
      </c>
    </row>
    <row r="5" ht="22.5" customHeight="1">
      <c r="A5" s="4"/>
      <c r="B5" s="5" t="s">
        <v>27</v>
      </c>
      <c r="C5" s="5">
        <v>8.0</v>
      </c>
      <c r="D5" s="5">
        <v>8.0</v>
      </c>
      <c r="E5" s="5">
        <v>8.0</v>
      </c>
      <c r="F5" s="5">
        <v>5.0</v>
      </c>
      <c r="G5" s="5">
        <v>8.0</v>
      </c>
      <c r="H5" s="5">
        <v>5.0</v>
      </c>
      <c r="I5" s="5">
        <v>5.0</v>
      </c>
      <c r="J5" s="5">
        <v>8.0</v>
      </c>
      <c r="K5" s="5">
        <v>5.0</v>
      </c>
      <c r="L5" s="5">
        <v>5.0</v>
      </c>
      <c r="M5" s="5">
        <v>8.0</v>
      </c>
      <c r="N5" s="5">
        <v>3.0</v>
      </c>
      <c r="O5" s="5">
        <v>3.0</v>
      </c>
      <c r="P5" s="5">
        <v>8.0</v>
      </c>
      <c r="Q5" s="5">
        <v>8.0</v>
      </c>
      <c r="R5" s="5">
        <v>5.0</v>
      </c>
      <c r="S5" s="5">
        <v>8.0</v>
      </c>
      <c r="T5" s="5">
        <v>5.0</v>
      </c>
      <c r="U5" s="5">
        <v>8.0</v>
      </c>
      <c r="V5" s="5">
        <v>5.0</v>
      </c>
      <c r="W5" s="5">
        <v>8.0</v>
      </c>
      <c r="X5" s="5">
        <v>8.0</v>
      </c>
    </row>
    <row r="6" ht="22.5" customHeight="1">
      <c r="A6" s="4"/>
      <c r="B6" s="5" t="s">
        <v>28</v>
      </c>
      <c r="C6" s="5">
        <v>8.0</v>
      </c>
      <c r="D6" s="5">
        <v>3.0</v>
      </c>
      <c r="E6" s="5">
        <v>8.0</v>
      </c>
      <c r="F6" s="5">
        <v>3.0</v>
      </c>
      <c r="G6" s="5">
        <v>8.0</v>
      </c>
      <c r="H6" s="5">
        <v>5.0</v>
      </c>
      <c r="I6" s="5">
        <v>5.0</v>
      </c>
      <c r="J6" s="5">
        <v>8.0</v>
      </c>
      <c r="K6" s="5">
        <v>8.0</v>
      </c>
      <c r="L6" s="5">
        <v>8.0</v>
      </c>
      <c r="M6" s="5">
        <v>8.0</v>
      </c>
      <c r="N6" s="5">
        <v>8.0</v>
      </c>
      <c r="O6" s="5">
        <v>5.0</v>
      </c>
      <c r="P6" s="5">
        <v>5.0</v>
      </c>
      <c r="Q6" s="5">
        <v>8.0</v>
      </c>
      <c r="R6" s="5">
        <v>8.0</v>
      </c>
      <c r="S6" s="5">
        <v>8.0</v>
      </c>
      <c r="T6" s="5">
        <v>8.0</v>
      </c>
      <c r="U6" s="5">
        <v>8.0</v>
      </c>
      <c r="V6" s="5">
        <v>8.0</v>
      </c>
      <c r="W6" s="5">
        <v>8.0</v>
      </c>
      <c r="X6" s="5">
        <v>8.0</v>
      </c>
    </row>
    <row r="7" ht="22.5" customHeight="1">
      <c r="A7" s="6"/>
      <c r="B7" s="6"/>
      <c r="C7" s="6">
        <f>AVERAGE(Form_Responses[HU001 Escaneo del QR 
Como usuario consumidor quiero entrar al sistema para poder dividir el monto total de la cuenta entre n usuarios de la misma mesa.])</f>
        <v>6.4</v>
      </c>
      <c r="D7" s="6">
        <f>AVERAGE(Form_Responses[HU002 Ingreso de más consumidores a una misma mesa
Como usuario consumidor quiero ingresar al sistema escaneando el QR para ser parte de una mesa que ya tiene asignado un primer usuario.])</f>
        <v>5.8</v>
      </c>
      <c r="E7" s="6">
        <f>AVERAGE(Form_Responses[HU003 División de la cuenta
Al ingresar a una misma mesa el sistema debe ir dividiendo el monto total de la cuenta según el número n de usuarios pertenecientes a la misma orden.])</f>
        <v>8</v>
      </c>
      <c r="F7" s="6">
        <f>AVERAGE(Form_Responses[HU004 Agregar productos a un único usuario
Como usuario consumidor quiero tener la posibilidad de agregar un producto que yo haya pedido solo para mí, para que su precio no esté incluido en el monto total grupal.])</f>
        <v>3.8</v>
      </c>
      <c r="G7" s="6">
        <f>AVERAGE(Form_Responses[HU005 Selección método de pago
Como usuario consumidor quiero seleccionar qué método de pago utilizaré.])</f>
        <v>8</v>
      </c>
      <c r="H7" s="6">
        <f>AVERAGE(Form_Responses[HU006 Selección de roles
Como administrador quiero que el sistema me permita seleccionar entre los diferentes roles que existan en él.])</f>
        <v>4.2</v>
      </c>
      <c r="I7" s="6">
        <f>AVERAGE(Form_Responses[HU007 Historial de transacciones
Como administrador quiero que en el sistema pueda revisar cuántos pagos se han realizado, con ID de compra y nombre del usuario.])</f>
        <v>4.4</v>
      </c>
      <c r="J7" s="6">
        <f>AVERAGE(Form_Responses[HU008 Verificación de pago por el cajero
Como cajero quiero poder verificar en tiempo real que el usuario ya realizó el pago.])</f>
        <v>7.4</v>
      </c>
      <c r="K7" s="6">
        <f>AVERAGE(Form_Responses[HU009 Método de pago — efectivo
Como usuario consumidor quiero pagar por efectivo, acercándome a la caja, y que este método quede validado en el software.])</f>
        <v>4.8</v>
      </c>
      <c r="L7" s="6">
        <f>AVERAGE(Form_Responses[HU010 Verificación pago por efectivo
Como cajero quiero ingresar que el usuario n de una mesa realizó el pago por efectivo mediante un código de un solo uso.])</f>
        <v>5</v>
      </c>
      <c r="M7" s="6">
        <f>AVERAGE(Form_Responses[HU011 Verificación de pago al cliente principal
Como usuario quiero que se me verifique que ya realicé el pago, una vez que todos los usuarios de la mesa hayan pagado.])</f>
        <v>6.8</v>
      </c>
      <c r="N7" s="6">
        <f>AVERAGE(Form_Responses[HU012 Ticket virtual
Como usuario quiero que me llegue un ticket al correo con el resumen de mi compra.])</f>
        <v>4</v>
      </c>
      <c r="O7" s="6">
        <f>AVERAGE(Form_Responses[HU013 Validación por código de factura
Como usuario consumidor quiero ingresar manualmente mi número de orden impreso en el recibo físico para validar que estoy en la cuenta correcta.])</f>
        <v>5.2</v>
      </c>
      <c r="P7" s="6">
        <f>AVERAGE(Form_Responses[HU014 Visualización de la cuenta
Como usuario consumidor quiero ver los productos que pedimos para saber exactamente qué estoy pagando, con detalle de ítems y subtotal.])</f>
        <v>6.2</v>
      </c>
      <c r="Q7" s="6">
        <f>AVERAGE(Form_Responses[HU015 Conexión con sistema de comandas
Como usuario consumidor quiero conectarme al sistema de comandas del restaurante para que mi información de pedidos esté disponible automáticamente.])</f>
        <v>5.4</v>
      </c>
      <c r="R7" s="6">
        <f>AVERAGE(Form_Responses[HU016 Pago individual de ítem
Como usuario consumidor quiero asumir el 100% del pago de un producto específico para cubrir el gasto de otro integrante de la mesa.])</f>
        <v>5.4</v>
      </c>
      <c r="S7" s="6">
        <f>AVERAGE(Form_Responses[HU017 Redirección a pasarela de pagos
Como usuario consumidor quiero ser redirigido a una pasarela de pagos para poder cancelar mi parte de la cuenta de forma digital.
])</f>
        <v>6</v>
      </c>
      <c r="T7" s="6">
        <f>AVERAGE(Form_Responses[HU018 Confirmación de pago al cajero
Como cajero quiero recibir una confirmación automática cuando todos los usuarios de la mesa hayan pagado para poder cerrar la mesa formalmente.])</f>
        <v>4.8</v>
      </c>
      <c r="U7" s="6">
        <f>AVERAGE(Form_Responses[HU019 Compatibilidad con dispositivos
Como usuario consumidor quiero que el sistema sea compatible con mi celular Android o iPhone para poder usarlo sin problemas.])</f>
        <v>5.2</v>
      </c>
      <c r="V7" s="6">
        <f>AVERAGE(Form_Responses[HU020 Carga rápida de información
Como usuario consumidor quiero que la información de mi cuenta cargue rápidamente para no generar esperas en el restaurante.])</f>
        <v>4.6</v>
      </c>
      <c r="W7" s="6">
        <f>AVERAGE(Form_Responses[HU021 Estabilidad del sistema
Como dueño del restaurante quiero que el sistema sea estable y sin errores durante su uso para no interrumpir la operación del negocio.])</f>
        <v>5.6</v>
      </c>
      <c r="X7" s="6">
        <f>AVERAGE(Form_Responses[HU022 Seguridad en pagos
Como usuario consumidor quiero que mis datos de pago estén protegidos para realizar transacciones con confianza.])</f>
        <v>5.2</v>
      </c>
    </row>
    <row r="10">
      <c r="A10" s="7" t="s">
        <v>29</v>
      </c>
      <c r="B10" s="8"/>
      <c r="C10" s="9"/>
    </row>
    <row r="11">
      <c r="A11" s="10"/>
      <c r="B11" s="11" t="s">
        <v>30</v>
      </c>
      <c r="C11" s="11" t="s">
        <v>31</v>
      </c>
    </row>
    <row r="12">
      <c r="A12" s="12" t="s">
        <v>32</v>
      </c>
      <c r="B12" s="13" t="s">
        <v>33</v>
      </c>
      <c r="C12" s="13" t="s">
        <v>34</v>
      </c>
    </row>
    <row r="13">
      <c r="A13" s="14" t="s">
        <v>35</v>
      </c>
      <c r="B13" s="13" t="s">
        <v>36</v>
      </c>
      <c r="C13" s="13" t="s">
        <v>37</v>
      </c>
    </row>
    <row r="14">
      <c r="A14" s="15" t="s">
        <v>38</v>
      </c>
      <c r="B14" s="13" t="s">
        <v>39</v>
      </c>
      <c r="C14" s="13" t="s">
        <v>40</v>
      </c>
      <c r="D14" s="16" t="s">
        <v>41</v>
      </c>
    </row>
  </sheetData>
  <mergeCells count="1">
    <mergeCell ref="A10:C10"/>
  </mergeCells>
  <drawing r:id="rId1"/>
  <tableParts count="1">
    <tablePart r:id="rId3"/>
  </tableParts>
</worksheet>
</file>