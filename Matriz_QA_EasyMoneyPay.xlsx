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Funcionales" sheetId="2" r:id="rId6"/>
    <sheet state="visible" name="No Funcionales" sheetId="3" r:id="rId7"/>
    <sheet state="visible" name="Regresion" sheetId="4" r:id="rId8"/>
    <sheet state="visible" name="Usabilidad" sheetId="5" r:id="rId9"/>
  </sheets>
  <definedNames>
    <definedName hidden="1" localSheetId="1" name="_xlnm._FilterDatabase">Funcionales!$A$1:$I$38</definedName>
    <definedName hidden="1" localSheetId="2" name="_xlnm._FilterDatabase">'No Funcionales'!$A$1:$I$30</definedName>
    <definedName hidden="1" localSheetId="3" name="_xlnm._FilterDatabase">Regresion!$A$1:$H$10</definedName>
    <definedName hidden="1" localSheetId="4" name="_xlnm._FilterDatabase">Usabilidad!$A$1:$G$12</definedName>
  </definedNames>
  <calcPr/>
</workbook>
</file>

<file path=xl/sharedStrings.xml><?xml version="1.0" encoding="utf-8"?>
<sst xmlns="http://schemas.openxmlformats.org/spreadsheetml/2006/main" count="812" uniqueCount="505">
  <si>
    <t>MATRIZ DE PRUEBAS QA — Easy Money Pay</t>
  </si>
  <si>
    <t>Tipo de Prueba</t>
  </si>
  <si>
    <t>Hoja</t>
  </si>
  <si>
    <t>Total Casos</t>
  </si>
  <si>
    <t>Aprobados</t>
  </si>
  <si>
    <t>Fallidos</t>
  </si>
  <si>
    <t>Pendientes</t>
  </si>
  <si>
    <t>Pruebas Funcionales</t>
  </si>
  <si>
    <t>Funcionales</t>
  </si>
  <si>
    <t>Pruebas No Funcionales</t>
  </si>
  <si>
    <t>No Funcionales</t>
  </si>
  <si>
    <t>Pruebas de Regresion</t>
  </si>
  <si>
    <t>Regresion</t>
  </si>
  <si>
    <t>Pruebas de Usabilidad</t>
  </si>
  <si>
    <t>Usabilidad</t>
  </si>
  <si>
    <t>TOTAL</t>
  </si>
  <si>
    <t>LEYENDA DE ESTADOS</t>
  </si>
  <si>
    <t>Pendiente</t>
  </si>
  <si>
    <t>Caso de prueba aun no ejecutado</t>
  </si>
  <si>
    <t>En Progreso</t>
  </si>
  <si>
    <t>Caso en ejecucion activa</t>
  </si>
  <si>
    <t>Aprobado</t>
  </si>
  <si>
    <t>Prueba ejecutada y resultado conforme</t>
  </si>
  <si>
    <t>Fallido</t>
  </si>
  <si>
    <t>Prueba ejecutada con resultado no conforme</t>
  </si>
  <si>
    <t>PRUEBAS FUNCIONALES — Easy Money Pay</t>
  </si>
  <si>
    <t>ID Prueba</t>
  </si>
  <si>
    <t>Historia de Usuario</t>
  </si>
  <si>
    <t>Caso de Prueba</t>
  </si>
  <si>
    <t>Precondicion</t>
  </si>
  <si>
    <t>Pasos de Ejecucion</t>
  </si>
  <si>
    <t>Resultado Esperado</t>
  </si>
  <si>
    <t>Resultado Obtenido</t>
  </si>
  <si>
    <t>Estado</t>
  </si>
  <si>
    <t>Prioridad</t>
  </si>
  <si>
    <t>Prueba 1</t>
  </si>
  <si>
    <t>HU1 - Escaneo del QR</t>
  </si>
  <si>
    <t>Escaneo de QR valido</t>
  </si>
  <si>
    <t>App abierta, camara habilitada</t>
  </si>
  <si>
    <t>1. Abrir app
2. Pulsar Escanear QR
3. Apuntar a QR valido</t>
  </si>
  <si>
    <t>App reconoce el QR y navega a pantalla de consumidores</t>
  </si>
  <si>
    <t>QR reconocido en 1.3s. Navegacion correcta a la pantalla de consumidores.</t>
  </si>
  <si>
    <t>Alta</t>
  </si>
  <si>
    <t>Prueba 2</t>
  </si>
  <si>
    <t>Escaneo de QR invalido o danado</t>
  </si>
  <si>
    <t>1. Abrir app
2. Pulsar Escanear QR
3. Apuntar a QR corrupto</t>
  </si>
  <si>
    <t>App muestra mensaje de error QR no reconocido</t>
  </si>
  <si>
    <t>App mostro mensaje generico de error sin descripcion clara para el usuario.</t>
  </si>
  <si>
    <t>Prueba 3</t>
  </si>
  <si>
    <t>Escaneo sin permisos de camara</t>
  </si>
  <si>
    <t>Permisos de camara denegados</t>
  </si>
  <si>
    <t>1. Abrir app
2. Pulsar Escanear QR</t>
  </si>
  <si>
    <t>App solicita habilitacion de permisos</t>
  </si>
  <si>
    <t>App solicito permisos correctamente con dialogo del sistema.</t>
  </si>
  <si>
    <t>Media</t>
  </si>
  <si>
    <t>Prueba 4</t>
  </si>
  <si>
    <t>HU2 - Ingreso de Consumidores</t>
  </si>
  <si>
    <t>Agregar consumidor con datos validos</t>
  </si>
  <si>
    <t>Sesion iniciada post-QR</t>
  </si>
  <si>
    <t>1. Ingresar nombre valido
2. Pulsar Agregar</t>
  </si>
  <si>
    <t>Consumidor aparece en la lista</t>
  </si>
  <si>
    <t>Consumidor agregado y visible en lista inmediatamente.</t>
  </si>
  <si>
    <t>Prueba 5</t>
  </si>
  <si>
    <t>Agregar consumidor con nombre vacio</t>
  </si>
  <si>
    <t>1. Dejar campo nombre vacio
2. Pulsar Agregar</t>
  </si>
  <si>
    <t>App muestra error Campo obligatorio</t>
  </si>
  <si>
    <t>Validacion funciono. Se mostro mensaje Campo obligatorio en rojo bajo el input.</t>
  </si>
  <si>
    <t>Prueba 6</t>
  </si>
  <si>
    <t>Agregar consumidor duplicado</t>
  </si>
  <si>
    <t>Ya existe un consumidor con ese nombre</t>
  </si>
  <si>
    <t>1. Ingresar nombre ya registrado
2. Pulsar Agregar</t>
  </si>
  <si>
    <t>App muestra advertencia de duplicado</t>
  </si>
  <si>
    <t>La app permitio agregar el nombre duplicado sin ninguna advertencia. Genera confusion.</t>
  </si>
  <si>
    <t>Prueba  7</t>
  </si>
  <si>
    <t>HU3 - Seleccion de Roles</t>
  </si>
  <si>
    <t>Seleccionar rol Cliente</t>
  </si>
  <si>
    <t>Consumidores agregados</t>
  </si>
  <si>
    <t>1. Seleccionar usuario
2. Asignar rol Cliente</t>
  </si>
  <si>
    <t>Rol asignado correctamente y visible en lista</t>
  </si>
  <si>
    <t>Rol asignado y etiqueta Cliente visible en la tarjeta del consumidor.</t>
  </si>
  <si>
    <t>Prueba 8</t>
  </si>
  <si>
    <t>Seleccionar rol Cajero</t>
  </si>
  <si>
    <t>1. Seleccionar usuario
2. Asignar rol Cajero</t>
  </si>
  <si>
    <t>Rol cajero asignado; permisos de cobro habilitados</t>
  </si>
  <si>
    <t>Rol cajero asignado. Se habilitaron las opciones de verificacion de pago.</t>
  </si>
  <si>
    <t>Prueba 9</t>
  </si>
  <si>
    <t>HU4 - Division de la Cuenta</t>
  </si>
  <si>
    <t>Division equitativa entre todos</t>
  </si>
  <si>
    <t>Cuenta con productos cargados</t>
  </si>
  <si>
    <t>1. Ir a Resumen
2. Seleccionar Division equitativa</t>
  </si>
  <si>
    <t>Monto total dividido en partes iguales</t>
  </si>
  <si>
    <t>Division calculada correctamente. Se verifico con 3 y 4 consumidores.</t>
  </si>
  <si>
    <t>Prueba 10</t>
  </si>
  <si>
    <t>Division personalizada por consumidor</t>
  </si>
  <si>
    <t>Cuenta con productos y consumidores</t>
  </si>
  <si>
    <t>1. Asignar productos por consumidor
2. Ver totales</t>
  </si>
  <si>
    <t>Cada consumidor ve su monto especifico</t>
  </si>
  <si>
    <t>Subtotales correctos por consumidor. El total cuadra con la suma de todos.</t>
  </si>
  <si>
    <t>Prueba 11</t>
  </si>
  <si>
    <t>HU5 - Agregar Productos</t>
  </si>
  <si>
    <t>Agregar producto existente al usuario</t>
  </si>
  <si>
    <t>Productos disponibles en sistema</t>
  </si>
  <si>
    <t>1. Seleccionar consumidor
2. Buscar producto
3. Pulsar Agregar</t>
  </si>
  <si>
    <t>Producto aparece en lista del consumidor</t>
  </si>
  <si>
    <t>Producto agregado sin errores. Se verifico que el subtotal se actualiza.</t>
  </si>
  <si>
    <t>Prueba 12</t>
  </si>
  <si>
    <t>Buscar producto inexistente</t>
  </si>
  <si>
    <t>Sistema de productos activo</t>
  </si>
  <si>
    <t>1. Ingresar nombre de producto que no existe
2. Buscar</t>
  </si>
  <si>
    <t>App muestra Producto no encontrado</t>
  </si>
  <si>
    <t>Mensaje de producto no encontrado correcto pero sin opcion de crear uno nuevo o volver.</t>
  </si>
  <si>
    <t>Prueba 13</t>
  </si>
  <si>
    <t>Agregar cantidad 0 o negativa</t>
  </si>
  <si>
    <t>Productos disponibles</t>
  </si>
  <si>
    <t>1. Seleccionar producto
2. Ingresar cantidad 0
3. Confirmar</t>
  </si>
  <si>
    <t>App muestra error de validacion</t>
  </si>
  <si>
    <t>El campo acepto cantidad 0 y agrego el producto con valor $0. No hay validacion.</t>
  </si>
  <si>
    <t>Prueba 14</t>
  </si>
  <si>
    <t>HU6 - Visualizacion de la Cuenta</t>
  </si>
  <si>
    <t>Ver resumen con productos asignados</t>
  </si>
  <si>
    <t>Productos asignados a consumidores</t>
  </si>
  <si>
    <t>1. Ir a pantalla Resumen</t>
  </si>
  <si>
    <t>Se muestran todos los productos y subtotales por usuario</t>
  </si>
  <si>
    <t>Resumen correcto con productos, cantidades y subtotales por consumidor.</t>
  </si>
  <si>
    <t>Prueba 15</t>
  </si>
  <si>
    <t>Ver cuenta con 0 productos</t>
  </si>
  <si>
    <t>Sin productos asignados</t>
  </si>
  <si>
    <t>1. Ir a pantalla Resumen sin productos</t>
  </si>
  <si>
    <t>App muestra estado vacio con indicacion</t>
  </si>
  <si>
    <t>Pantalla muestra estado vacio sin ningun mensaje que indique al usuario que hacer.</t>
  </si>
  <si>
    <t>Baja</t>
  </si>
  <si>
    <t>Prueba 16</t>
  </si>
  <si>
    <t>HU7 - Conexion Sistema Comandas</t>
  </si>
  <si>
    <t>Conexion exitosa al sistema de comandas</t>
  </si>
  <si>
    <t>API de comandas disponible</t>
  </si>
  <si>
    <t>1. Abrir modulo
2. Sincronizar con comandas</t>
  </si>
  <si>
    <t>Productos del sistema importados correctamente</t>
  </si>
  <si>
    <t>Sincronizacion exitosa. 12 productos importados en 2.1s.</t>
  </si>
  <si>
    <t>Prueba 17</t>
  </si>
  <si>
    <t>Fallo de conexion con comandas</t>
  </si>
  <si>
    <t>API de comandas no disponible</t>
  </si>
  <si>
    <t>1. Abrir modulo
2. Intentar sincronizar</t>
  </si>
  <si>
    <t>App muestra error de conexion y opcion de reintentar</t>
  </si>
  <si>
    <t>App se quedo cargando indefinidamente sin mensaje de error ni timeout visible.</t>
  </si>
  <si>
    <t>Prueba 18</t>
  </si>
  <si>
    <t>HU8 - Ticket Virtual</t>
  </si>
  <si>
    <t>Generacion de ticket post-pago</t>
  </si>
  <si>
    <t>Pago completado exitosamente</t>
  </si>
  <si>
    <t>1. Completar pago
2. Ver ticket generado</t>
  </si>
  <si>
    <t>Ticket muestra fecha, items, total y metodo de pago</t>
  </si>
  <si>
    <t>Ticket generado con todos los campos requeridos. Formato legible y correcto.</t>
  </si>
  <si>
    <t>Prueba 19</t>
  </si>
  <si>
    <t>HU9 - Historial de Transacciones</t>
  </si>
  <si>
    <t>Ver historial con transacciones</t>
  </si>
  <si>
    <t>Usuario con pagos previos</t>
  </si>
  <si>
    <t>1. Ir a Historial</t>
  </si>
  <si>
    <t>Lista de transacciones ordenada por fecha descendente</t>
  </si>
  <si>
    <t>Historial carga con todas las transacciones en orden correcto.</t>
  </si>
  <si>
    <t>Prueba 20</t>
  </si>
  <si>
    <t>Filtrar historial por fecha</t>
  </si>
  <si>
    <t>Historial con multiples transacciones</t>
  </si>
  <si>
    <t>1. Aplicar filtro de fecha
2. Ver resultados</t>
  </si>
  <si>
    <t>Solo se muestran transacciones en el rango seleccionado</t>
  </si>
  <si>
    <t>Filtro de fecha en desarrollo. Boton presente pero sin funcionalidad implementada.</t>
  </si>
  <si>
    <t>Prueba 21</t>
  </si>
  <si>
    <t>HU10 - Validacion Codigo Factura</t>
  </si>
  <si>
    <t>Ingresar codigo de factura valido</t>
  </si>
  <si>
    <t>Pago en proceso</t>
  </si>
  <si>
    <t>1. Ingresar codigo correcto
2. Validar</t>
  </si>
  <si>
    <t>Sistema confirma factura y habilita pago</t>
  </si>
  <si>
    <t>Codigo validado correctamente. Pago habilitado en menos de 1 segundo.</t>
  </si>
  <si>
    <t>Prueba 22</t>
  </si>
  <si>
    <t>Ingresar codigo de factura invalido</t>
  </si>
  <si>
    <t>1. Ingresar codigo incorrecto
2. Validar</t>
  </si>
  <si>
    <t>App muestra Codigo no valido</t>
  </si>
  <si>
    <t>Mensaje de error mostrado correctamente. Campo resaltado en rojo.</t>
  </si>
  <si>
    <t>Prueba 23</t>
  </si>
  <si>
    <t>HU11 - Seleccion Metodo de Pago</t>
  </si>
  <si>
    <t>Seleccionar pago por Nequi</t>
  </si>
  <si>
    <t>Resumen de cuenta listo</t>
  </si>
  <si>
    <t>1. Ver metodos de pago
2. Seleccionar Nequi</t>
  </si>
  <si>
    <t>Flujo de pago Nequi iniciado</t>
  </si>
  <si>
    <t>Flujo Nequi iniciado correctamente. Solicita numero de telefono.</t>
  </si>
  <si>
    <t>Prueba 24</t>
  </si>
  <si>
    <t>Seleccionar pago por PSE</t>
  </si>
  <si>
    <t>1. Ver metodos de pago
2. Seleccionar PSE</t>
  </si>
  <si>
    <t>Flujo de pago PSE iniciado</t>
  </si>
  <si>
    <t>Flujo PSE iniciado. Redirige a seleccion de banco correctamente.</t>
  </si>
  <si>
    <t>Prueba 25</t>
  </si>
  <si>
    <t>Seleccionar pago en Efectivo</t>
  </si>
  <si>
    <t>1. Ver metodos de pago
2. Seleccionar Efectivo</t>
  </si>
  <si>
    <t>Flujo de pago en efectivo iniciado</t>
  </si>
  <si>
    <t>Flujo efectivo iniciado. Muestra monto a pagar al cajero.</t>
  </si>
  <si>
    <t>Prueba 26</t>
  </si>
  <si>
    <t>HU12 - Redireccion Pasarela de Pago</t>
  </si>
  <si>
    <t>Redireccion exitosa a pasarela</t>
  </si>
  <si>
    <t>Metodo de pago seleccionado</t>
  </si>
  <si>
    <t>1. Confirmar pago
2. Esperar redireccion</t>
  </si>
  <si>
    <t>Pasarela carga correctamente con datos de la transaccion</t>
  </si>
  <si>
    <t>Pasarela cargada en 3.8s. Datos de la transaccion correctos.</t>
  </si>
  <si>
    <t>Prueba 27</t>
  </si>
  <si>
    <t>Fallo en redireccion</t>
  </si>
  <si>
    <t>Sin conexion a internet</t>
  </si>
  <si>
    <t>App muestra error y opcion de reintentar</t>
  </si>
  <si>
    <t>App muestra pantalla en blanco y se congela. No hay opcion de reintentar ni mensaje.</t>
  </si>
  <si>
    <t>Prueba 28</t>
  </si>
  <si>
    <t>HU13 - Verificacion Pago Cajero</t>
  </si>
  <si>
    <t>Cajero verifica pago correctamente</t>
  </si>
  <si>
    <t>Pago enviado por el cliente</t>
  </si>
  <si>
    <t>1. Cajero recibe notificacion
2. Verifica y aprueba</t>
  </si>
  <si>
    <t>Pago marcado como verificado; cliente recibe confirmacion</t>
  </si>
  <si>
    <t>Flujo correcto. Cajero aprueba y cliente recibe confirmacion en menos de 2s.</t>
  </si>
  <si>
    <t>Prueba 29</t>
  </si>
  <si>
    <t>Cajero rechaza el pago</t>
  </si>
  <si>
    <t>1. Cajero recibe notificacion
2. Rechaza pago</t>
  </si>
  <si>
    <t>Pago rechazado; cliente notificado</t>
  </si>
  <si>
    <t>Rechazo procesado. Cliente recibio notificacion con motivo de rechazo.</t>
  </si>
  <si>
    <t>Prueba 30</t>
  </si>
  <si>
    <t>HU14 - Confirmacion Pago PSE</t>
  </si>
  <si>
    <t>Pago PSE aprobado</t>
  </si>
  <si>
    <t>Proceso PSE completado en banco</t>
  </si>
  <si>
    <t>1. Banco responde aprobacion
2. App procesa respuesta</t>
  </si>
  <si>
    <t>App muestra pantalla de exito y genera ticket</t>
  </si>
  <si>
    <t>Pantalla de exito mostrada correctamente. Ticket generado con numero de transaccion.</t>
  </si>
  <si>
    <t>Prueba 31</t>
  </si>
  <si>
    <t>Pago PSE rechazado por banco</t>
  </si>
  <si>
    <t>Proceso PSE completado con error</t>
  </si>
  <si>
    <t>1. Banco responde rechazo
2. App procesa respuesta</t>
  </si>
  <si>
    <t>App muestra error con codigo de rechazo bancario</t>
  </si>
  <si>
    <t>Error mostrado pero sin codigo de rechazo visible. Solo dice Pago no procesado.</t>
  </si>
  <si>
    <t>Prueba 32</t>
  </si>
  <si>
    <t>HU15 - Metodo Pago Efectivo</t>
  </si>
  <si>
    <t>Pago en efectivo registrado</t>
  </si>
  <si>
    <t>Cliente selecciono efectivo</t>
  </si>
  <si>
    <t>1. Cajero ingresa monto recibido
2. Confirma</t>
  </si>
  <si>
    <t>Sistema registra pago y calcula cambio si aplica</t>
  </si>
  <si>
    <t>Pago registrado correctamente. Cambio calculado bien en todos los casos de prueba.</t>
  </si>
  <si>
    <t>Prueba 33</t>
  </si>
  <si>
    <t>HU16 - Verificacion Pago Efectivo</t>
  </si>
  <si>
    <t>Verificacion exitosa de pago efectivo</t>
  </si>
  <si>
    <t>1. Cajero confirma recepcion
2. Sistema verifica</t>
  </si>
  <si>
    <t>Pago marcado como completado</t>
  </si>
  <si>
    <t>Verificacion exitosa. Estado actualizado a completado en tiempo real.</t>
  </si>
  <si>
    <t>Prueba 34</t>
  </si>
  <si>
    <t>HU17 - Pago Individual Nequi</t>
  </si>
  <si>
    <t>Pago individual exitoso por Nequi</t>
  </si>
  <si>
    <t>Cliente con cuenta Nequi activa</t>
  </si>
  <si>
    <t>1. Seleccionar pago individual
2. Ingresar numero Nequi
3. Confirmar</t>
  </si>
  <si>
    <t>Pago procesado; ambas partes notificadas</t>
  </si>
  <si>
    <t>Pago procesado en 4.2s. Ambas partes recibieron confirmacion por notificacion push.</t>
  </si>
  <si>
    <t>Prueba 35</t>
  </si>
  <si>
    <t>Numero Nequi invalido</t>
  </si>
  <si>
    <t>1. Ingresar numero Nequi inexistente
2. Confirmar</t>
  </si>
  <si>
    <t>App muestra Numero no encontrado en Nequi</t>
  </si>
  <si>
    <t>El mensaje mostrado fue Error de procesamiento. No especifica que el numero no existe.</t>
  </si>
  <si>
    <t>Prueba 36</t>
  </si>
  <si>
    <t>HU18 - Verificacion Cliente Principal</t>
  </si>
  <si>
    <t>Cliente principal verificado</t>
  </si>
  <si>
    <t>Todos los pagos individuales completados</t>
  </si>
  <si>
    <t>1. Sistema detecta pagos completados
2. Notifica al cliente principal</t>
  </si>
  <si>
    <t>Cliente principal recibe confirmacion de mesa saldada</t>
  </si>
  <si>
    <t>Notificacion recibida correctamente. Estado de la mesa actualizado a saldada.</t>
  </si>
  <si>
    <t>PRUEBAS NO FUNCIONALES — Easy Money Pay</t>
  </si>
  <si>
    <t>Tipo</t>
  </si>
  <si>
    <t>Subtipo / HU</t>
  </si>
  <si>
    <t>Descripcion / Escenario</t>
  </si>
  <si>
    <t>Criterio de Aceptacion</t>
  </si>
  <si>
    <t>Herramienta Usada</t>
  </si>
  <si>
    <t>Observaciones del Resultado</t>
  </si>
  <si>
    <t>Rendimiento</t>
  </si>
  <si>
    <t>HU19 - Carga Rapida</t>
  </si>
  <si>
    <t>Tiempo de inicio de la app</t>
  </si>
  <si>
    <t>Medir tiempo desde apertura hasta pantalla principal</t>
  </si>
  <si>
    <t>Inicio en menos de 3 segundos</t>
  </si>
  <si>
    <t>Android Profiler</t>
  </si>
  <si>
    <t>Tiempo de escaneo QR</t>
  </si>
  <si>
    <t>Medir latencia desde camara activa hasta QR reconocido</t>
  </si>
  <si>
    <t>Reconocimiento en menos de 2 segundos</t>
  </si>
  <si>
    <t>Cronometro manual + Logcat</t>
  </si>
  <si>
    <t>Tiempo promedio de inicio: 1.8s en Pixel 6. Cumple criterio.</t>
  </si>
  <si>
    <t>Tiempo de carga del resumen de cuenta con 10 productos</t>
  </si>
  <si>
    <t>Con 10 productos asignados, medir tiempo de render</t>
  </si>
  <si>
    <t>Resumen visible en menos de 2 segundos</t>
  </si>
  <si>
    <t>Tiempo promedio de reconocimiento: 1.3s. Cumple criterio.</t>
  </si>
  <si>
    <t>Estres</t>
  </si>
  <si>
    <t>Prueba de carga con 50 usuarios simultaneos</t>
  </si>
  <si>
    <t>Simular 50 usuarios realizando pagos al mismo tiempo</t>
  </si>
  <si>
    <t>Tiempo de respuesta promedio menor a 3s; sin caidas</t>
  </si>
  <si>
    <t>JMeter</t>
  </si>
  <si>
    <t>Render del resumen con 10 productos en 1.6s. Cumple.</t>
  </si>
  <si>
    <t>Prueba de carga con 200 usuarios simultaneos</t>
  </si>
  <si>
    <t>Simular 200 usuarios activos al mismo tiempo</t>
  </si>
  <si>
    <t>Degradacion controlada; sin errores 500</t>
  </si>
  <si>
    <t>Promedio 2.1s con 50 usuarios. Sin caidas registradas.</t>
  </si>
  <si>
    <t>Prueba de pico: aumento de 10 a 500 usuarios en 30s</t>
  </si>
  <si>
    <t>Aumento repentino de usuarios en poco tiempo</t>
  </si>
  <si>
    <t>Sistema se recupera en menos de 60 segundos</t>
  </si>
  <si>
    <t>Gatling</t>
  </si>
  <si>
    <t>Promedio de respuesta 5.2s con 200 usuarios. Supera el umbral de 3s.</t>
  </si>
  <si>
    <t>Prueba 7</t>
  </si>
  <si>
    <t>Consumo de memoria durante uso normal 30 min</t>
  </si>
  <si>
    <t>Monitorear RAM durante media hora de uso activo</t>
  </si>
  <si>
    <t>Consumo RAM menor a 150 MB</t>
  </si>
  <si>
    <t>Sistema tardo 95s en estabilizarse. Supera los 60s del criterio.</t>
  </si>
  <si>
    <t>Consumo de bateria en 1 hora de uso</t>
  </si>
  <si>
    <t>Medir porcentaje de bateria consumida en 1 hora activa</t>
  </si>
  <si>
    <t>Consumo menor al 10% por hora de uso</t>
  </si>
  <si>
    <t>Battery Historian</t>
  </si>
  <si>
    <t>Consumo promedio 98 MB durante 30 minutos de uso activo.</t>
  </si>
  <si>
    <t>Compatibilidad</t>
  </si>
  <si>
    <t>HU20 - Compatibilidad</t>
  </si>
  <si>
    <t>Flujo completo en Android 10</t>
  </si>
  <si>
    <t>Instalar y ejecutar todas las HUs en Android 10</t>
  </si>
  <si>
    <t>Todas las funciones operan sin errores</t>
  </si>
  <si>
    <t>Emulador Android</t>
  </si>
  <si>
    <t>Flujo completo en Android 11</t>
  </si>
  <si>
    <t>Instalar y ejecutar todas las HUs en Android 11</t>
  </si>
  <si>
    <t>Flujo completo funciono. Todos los modulos operativos.</t>
  </si>
  <si>
    <t>Flujo completo en Android 12</t>
  </si>
  <si>
    <t>Instalar y ejecutar todas las HUs en Android 12</t>
  </si>
  <si>
    <t>Funciones operan; permisos nuevos manejados</t>
  </si>
  <si>
    <t>Dispositivo fisico</t>
  </si>
  <si>
    <t>Flujo completo funciono. Sin diferencias con Android 10.</t>
  </si>
  <si>
    <t>Flujo completo en Android 13</t>
  </si>
  <si>
    <t>Instalar y ejecutar todas las HUs en Android 13</t>
  </si>
  <si>
    <t>Compatibilidad con notificaciones y permisos de Android 13</t>
  </si>
  <si>
    <t>Funciono correctamente. Permisos de notificacion manejados.</t>
  </si>
  <si>
    <t>UI en pantalla pequena (menor a 5 pulgadas)</t>
  </si>
  <si>
    <t>Verificar visualizacion en pantallas pequenas</t>
  </si>
  <si>
    <t>Sin elementos cortados ni superpuestos</t>
  </si>
  <si>
    <t>Sin errores. Permisos de Android 13 gestionados correctamente.</t>
  </si>
  <si>
    <t>UI en tablet de 10 pulgadas</t>
  </si>
  <si>
    <t>Verificar visualizacion en pantallas grandes</t>
  </si>
  <si>
    <t>Layout adaptado; sin espacios excesivos</t>
  </si>
  <si>
    <t>Botones del modulo de pago se superponen con el teclado en pantallas de 4.7 pulgadas.</t>
  </si>
  <si>
    <t>Modo oscuro en todos los modulos</t>
  </si>
  <si>
    <t>Verificar contraste y legibilidad en modo oscuro</t>
  </si>
  <si>
    <t>Todos los textos legibles; sin colores invertidos</t>
  </si>
  <si>
    <t>Flujo completo con conexion 3G (menos de 1 Mbps)</t>
  </si>
  <si>
    <t>Ejecutar flujos con ancho de banda limitado</t>
  </si>
  <si>
    <t>App funciona con delays aceptables; indicadores de carga visibles</t>
  </si>
  <si>
    <t>Network throttling</t>
  </si>
  <si>
    <t>Textos del modulo de verificacion de pago no visibles en modo oscuro. Fondo y texto del mismo color.</t>
  </si>
  <si>
    <t>Estabilidad</t>
  </si>
  <si>
    <t>HU21 - Estabilidad</t>
  </si>
  <si>
    <t>Ejecucion continua durante 2 horas</t>
  </si>
  <si>
    <t>Mantener app activa 2 horas con operaciones frecuentes</t>
  </si>
  <si>
    <t>Sin crashes ni ANR (App Not Responding)</t>
  </si>
  <si>
    <t>Monkey Tool</t>
  </si>
  <si>
    <t>App funciono con latencia de 1.8s promedio. Indicadores de carga visibles.</t>
  </si>
  <si>
    <t>Recuperacion post-cierre forzado</t>
  </si>
  <si>
    <t>Forzar cierre de la app y volver a abrir</t>
  </si>
  <si>
    <t>App retoma estado anterior sin perdida de datos</t>
  </si>
  <si>
    <t>Manual</t>
  </si>
  <si>
    <t>Sin crashes ni ANR durante las 2 horas de prueba continua.</t>
  </si>
  <si>
    <t>Interrupcion por llamada durante el pago</t>
  </si>
  <si>
    <t>Recibir llamada mientras el pago esta en proceso</t>
  </si>
  <si>
    <t>Flujo de pago se retoma correctamente al volver</t>
  </si>
  <si>
    <t>App cargo en el ultimo estado sin perdida de datos en los 5 intentos.</t>
  </si>
  <si>
    <t>Perdida de conexion durante el pago</t>
  </si>
  <si>
    <t>Desconectar internet en mitad del proceso de pago</t>
  </si>
  <si>
    <t>App muestra error claro; no genera cobro duplicado</t>
  </si>
  <si>
    <t>Emulador toggle WiFi</t>
  </si>
  <si>
    <t>Al retornar de la llamada los campos de texto del formulario de pago quedaron en blanco.</t>
  </si>
  <si>
    <t>Deteccion de memory leak tras navegacion repetida</t>
  </si>
  <si>
    <t>Navegar entre todas las pantallas 20 veces</t>
  </si>
  <si>
    <t>Memoria no crece indefinidamente</t>
  </si>
  <si>
    <t>LeakCanary</t>
  </si>
  <si>
    <t>Se genero un cobro duplicado en 2 de 5 intentos al restaurar la conexion.</t>
  </si>
  <si>
    <t>Rotacion de pantalla en cada modulo principal</t>
  </si>
  <si>
    <t>Rotar dispositivo en cada pantalla principal</t>
  </si>
  <si>
    <t>UI se adapta sin perder datos ingresados</t>
  </si>
  <si>
    <t>Seguridad</t>
  </si>
  <si>
    <t>HU22 - Seguridad</t>
  </si>
  <si>
    <t>Cifrado de datos en transito</t>
  </si>
  <si>
    <t>Interceptar trafico HTTP con proxy para verificar HTTPS</t>
  </si>
  <si>
    <t>Todo el trafico usa HTTPS/TLS 1.2 o superior</t>
  </si>
  <si>
    <t>Burp Suite</t>
  </si>
  <si>
    <t>Almacenamiento seguro de tokens de sesion</t>
  </si>
  <si>
    <t>Revisar si tokens estan en SharedPreferences sin cifrar</t>
  </si>
  <si>
    <t>Tokens almacenados con Android Keystore o EncryptedSharedPreferences</t>
  </si>
  <si>
    <t>MobSF</t>
  </si>
  <si>
    <t>Todo el trafico confirmado bajo HTTPS/TLS 1.2. Sin datos en texto plano.</t>
  </si>
  <si>
    <t>Inyeccion en campos de texto nombre y codigo</t>
  </si>
  <si>
    <t>Ingresar payloads SQL e inyeccion de script en campos</t>
  </si>
  <si>
    <t>App no ejecuta comandos; datos saneados correctamente</t>
  </si>
  <si>
    <t>Manual + OWASP ZAP</t>
  </si>
  <si>
    <t>Tokens de sesion encontrados en SharedPreferences sin cifrado. Riesgo de seguridad.</t>
  </si>
  <si>
    <t>Sesion expirada tras 30 minutos de inactividad</t>
  </si>
  <si>
    <t>Dejar app inactiva 30 minutos y reintentar accion</t>
  </si>
  <si>
    <t>App solicita re-autenticacion; sesion invalidada</t>
  </si>
  <si>
    <t>Payloads SQL e inyeccion de script rechazados correctamente en todos los campos.</t>
  </si>
  <si>
    <t>Acceso no autorizado a recursos de otro usuario</t>
  </si>
  <si>
    <t>Intentar acceder a endpoints con token de otro usuario</t>
  </si>
  <si>
    <t>API retorna 401 o 403; no expone datos ajenos</t>
  </si>
  <si>
    <t>Postman</t>
  </si>
  <si>
    <t>Sesion invalidada a los 30 minutos. Redirige a login correctamente.</t>
  </si>
  <si>
    <t>Proteccion contra ingenieria inversa</t>
  </si>
  <si>
    <t>Descompilar APK y verificar ofuscacion del codigo</t>
  </si>
  <si>
    <t>Codigo ofuscado; sin credenciales visibles en claro</t>
  </si>
  <si>
    <t>apktool + jadx</t>
  </si>
  <si>
    <t>API retorno 403 al intentar acceder a datos de otro usuario.</t>
  </si>
  <si>
    <t>PRUEBAS DE REGRESION — Easy Money Pay</t>
  </si>
  <si>
    <t>Flujo / Modulo</t>
  </si>
  <si>
    <t>HUs Involucradas</t>
  </si>
  <si>
    <t>Descripcion del Flujo</t>
  </si>
  <si>
    <t>Flujo Completo QR a Pago Nequi</t>
  </si>
  <si>
    <t>Flujo E2E: escanear QR, agregar consumidores, asignar productos y pagar con Nequi</t>
  </si>
  <si>
    <t>HU1, HU2, HU3, HU5, HU11, HU17</t>
  </si>
  <si>
    <t>1. Escanear QR
2. Agregar 2 consumidores
3. Asignar roles
4. Agregar productos
5. Seleccionar Nequi
6. Confirmar pago</t>
  </si>
  <si>
    <t>Pago completado; ticket generado para ambos consumidores</t>
  </si>
  <si>
    <t>Flujo completo ejecutado en 3 intentos. Tiempo total promedio 4.8 min. Sin errores.</t>
  </si>
  <si>
    <t>Flujo Division de Cuenta entre 3 personas</t>
  </si>
  <si>
    <t>Division equitativa y pago en efectivo para 3 consumidores</t>
  </si>
  <si>
    <t>HU1, HU2, HU4, HU6, HU11, HU15</t>
  </si>
  <si>
    <t>1. Escanear QR
2. Agregar 3 consumidores
3. Division equitativa
4. Pago en efectivo</t>
  </si>
  <si>
    <t>Cada consumidor paga monto correcto; cajero confirma</t>
  </si>
  <si>
    <t>Division de 3 personas verificada. Montos correctos en todos los intentos.</t>
  </si>
  <si>
    <t>Flujo Pago PSE Completo</t>
  </si>
  <si>
    <t>Flujo completo de seleccion PSE con redireccion a pasarela</t>
  </si>
  <si>
    <t>HU11, HU12, HU14</t>
  </si>
  <si>
    <t>1. Seleccionar PSE
2. Redirigir a pasarela
3. Ingresar datos banco
4. Confirmar</t>
  </si>
  <si>
    <t>Pago aprobado; retorno a app con confirmacion</t>
  </si>
  <si>
    <t>La redireccion a la pasarela PSE tardo mas de 8s en red 4G. Supera umbral aceptable.</t>
  </si>
  <si>
    <t>Flujo Pago Efectivo y Verificacion</t>
  </si>
  <si>
    <t>Registro y verificacion de pago en efectivo por cajero</t>
  </si>
  <si>
    <t>HU15, HU16</t>
  </si>
  <si>
    <t>1. Seleccionar efectivo
2. Cajero ingresa monto
3. Confirmar
4. Verificar</t>
  </si>
  <si>
    <t>Pago registrado; cambio calculado correctamente</t>
  </si>
  <si>
    <t>Se detecto cobro duplicado al restaurar conexion en 2 de 5 pruebas. Defecto critico.</t>
  </si>
  <si>
    <t>Manejo de Error de Red en Pago</t>
  </si>
  <si>
    <t>Flujo de pago con perdida de conexion en etapa critica</t>
  </si>
  <si>
    <t>HU11, HU12</t>
  </si>
  <si>
    <t>1. Iniciar pago
2. Cortar conexion
3. Restaurar
4. Reintentar</t>
  </si>
  <si>
    <t>App muestra error; al reconectar permite reintentar sin cobro doble</t>
  </si>
  <si>
    <t>Ticket generado y visible en historial en menos de 3s tras pago.</t>
  </si>
  <si>
    <t>Historial post-pago exitoso</t>
  </si>
  <si>
    <t>Verificar que transaccion aparece en historial tras pago</t>
  </si>
  <si>
    <t>HU8, HU9</t>
  </si>
  <si>
    <t>1. Completar pago
2. Ir a Historial</t>
  </si>
  <si>
    <t>Transaccion aparece con datos correctos: monto, fecha, metodo</t>
  </si>
  <si>
    <t>Cajero aprueba y cliente notificado en menos de 2s. Flujo correcto.</t>
  </si>
  <si>
    <t>Verificacion de Pago por Cajero</t>
  </si>
  <si>
    <t>Cajero verifica y aprueba pago; cliente recibe confirmacion</t>
  </si>
  <si>
    <t>HU13, HU18</t>
  </si>
  <si>
    <t>1. Cliente paga
2. Cajero recibe notificacion
3. Cajero aprueba
4. Cliente ve confirmacion</t>
  </si>
  <si>
    <t>Cliente principal notificado; cuenta marcada como saldada</t>
  </si>
  <si>
    <t>Suite de Smoke Test post-release</t>
  </si>
  <si>
    <t>Ejecutar casos criticos tras cada nuevo despliegue</t>
  </si>
  <si>
    <t>HU1, HU2, HU11, HU13</t>
  </si>
  <si>
    <t>Re-ejecutar PT-F001, PT-F004, PT-F023, PT-F028 en cada deploy</t>
  </si>
  <si>
    <t>Todos los casos criticos pasan sin regresiones</t>
  </si>
  <si>
    <t>PRUEBAS DE USABILIDAD — Easy Money Pay</t>
  </si>
  <si>
    <t>Area Evaluada</t>
  </si>
  <si>
    <t>Criterio de Usabilidad</t>
  </si>
  <si>
    <t>Metodo de Evaluacion</t>
  </si>
  <si>
    <t>Perfil de Usuario</t>
  </si>
  <si>
    <t>Onboarding / Primera vez</t>
  </si>
  <si>
    <t>El usuario entiende como usar la app sin instrucciones en menos de 5 minutos</t>
  </si>
  <si>
    <t>Test con 5 usuarios nuevos; observacion sin guia</t>
  </si>
  <si>
    <t>Usuario sin experiencia previa con la app</t>
  </si>
  <si>
    <t>Promedio de 3.8 minutos para completar primera accion. 4 de 5 usuarios lo lograron solos.</t>
  </si>
  <si>
    <t>Escaneo QR</t>
  </si>
  <si>
    <t>El icono y flujo de escaneo QR son intuitivos y faciles de encontrar</t>
  </si>
  <si>
    <t>Think-aloud protocol con 3 usuarios</t>
  </si>
  <si>
    <t>Usuario no tecnico de 20 a 45 anos</t>
  </si>
  <si>
    <t>Todos los usuarios encontraron el boton de QR en menos de 10s.</t>
  </si>
  <si>
    <t>Mensajes de error</t>
  </si>
  <si>
    <t>Los mensajes de error son comprensibles y orientan al usuario a corregir</t>
  </si>
  <si>
    <t>Heuristicas de Nielsen + test con 3 usuarios</t>
  </si>
  <si>
    <t>Evaluador UX + usuarios finales</t>
  </si>
  <si>
    <t>Mensajes como Error 404 o Error de procesamiento no son comprensibles para usuarios finales.</t>
  </si>
  <si>
    <t>Flujo de pago</t>
  </si>
  <si>
    <t>El flujo completo de pago se completa en menos de 5 pasos sin confusiones</t>
  </si>
  <si>
    <t>Test de tarea con timer; medir tiempo y errores</t>
  </si>
  <si>
    <t>Usuario con experiencia basica en apps de pago</t>
  </si>
  <si>
    <t>Flujo completado en promedio 4 pasos. Consistente y sin confusiones reportadas.</t>
  </si>
  <si>
    <t>Jerarquia visual</t>
  </si>
  <si>
    <t>Los elementos principales CTA, totales y estado tienen la prominencia adecuada</t>
  </si>
  <si>
    <t>Revision heuristica de UI + test de 5 segundos</t>
  </si>
  <si>
    <t>Evaluador UX</t>
  </si>
  <si>
    <t>Feedback del sistema</t>
  </si>
  <si>
    <t>La app da retroalimentacion visible ante cada accion: carga, exito y error</t>
  </si>
  <si>
    <t>Walkthrough completo verificando indicadores de estado</t>
  </si>
  <si>
    <t>Evaluador QA</t>
  </si>
  <si>
    <t>No hay indicador de carga al procesar el pago PSE. Usuarios pensaron que la app se congelo.</t>
  </si>
  <si>
    <t>Accesibilidad basica</t>
  </si>
  <si>
    <t>Textos con tamano minimo 14sp; contraste suficiente segun WCAG AA</t>
  </si>
  <si>
    <t>Herramienta de contraste + zoom al 200%</t>
  </si>
  <si>
    <t>Evaluador de accesibilidad</t>
  </si>
  <si>
    <t>Contraste del boton Confirmar es 3.8:1. No supera el ratio minimo de 4.5:1 de WCAG AA.</t>
  </si>
  <si>
    <t>Consistencia visual</t>
  </si>
  <si>
    <t>Botones, iconos y tipografia son consistentes en todas las pantallas</t>
  </si>
  <si>
    <t>Audit de componentes comparado contra Figma</t>
  </si>
  <si>
    <t>Disenador + QA</t>
  </si>
  <si>
    <t>Componentes consistentes con el diseno en Figma. Sin variaciones detectadas.</t>
  </si>
  <si>
    <t>Estados vacios</t>
  </si>
  <si>
    <t>Las pantallas sin datos guian al usuario con mensaje o accion clara</t>
  </si>
  <si>
    <t>Verificacion de empty states en pantallas relevantes</t>
  </si>
  <si>
    <t>QA funcional</t>
  </si>
  <si>
    <t>Pantalla de historial vacio no tiene mensaje ni CTA. El usuario no sabe que hacer.</t>
  </si>
  <si>
    <t>Satisfaccion general</t>
  </si>
  <si>
    <t>Puntuacion SUS (System Usability Scale) igual o mayor a 70</t>
  </si>
  <si>
    <t>Cuestionario SUS post-test con 5 o mas usuarios</t>
  </si>
  <si>
    <t>Usuarios finales representativos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</si>
</sst>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b/>
      <sz val="10.0"/>
      <color rgb="FF000000"/>
      <name val="Arial"/>
    </font>
    <font>
      <b/>
      <sz val="10.0"/>
      <color rgb="FFFFFFFF"/>
      <name val="Arial"/>
    </font>
    <font>
      <b/>
      <sz val="10.0"/>
      <color rgb="FF9C5700"/>
      <name val="Arial"/>
    </font>
    <font>
      <sz val="10.0"/>
      <color theme="1"/>
      <name val="Arial"/>
    </font>
    <font>
      <b/>
      <sz val="10.0"/>
      <color rgb="FF1A3C5E"/>
      <name val="Arial"/>
    </font>
    <font>
      <b/>
      <sz val="10.0"/>
      <color rgb="FF276221"/>
      <name val="Arial"/>
    </font>
    <font>
      <b/>
      <sz val="10.0"/>
      <color rgb="FF9C0006"/>
      <name val="Arial"/>
    </font>
    <font>
      <b/>
      <sz val="13.0"/>
      <color rgb="FFFFFFFF"/>
      <name val="Arial"/>
    </font>
    <font>
      <sz val="10.0"/>
      <color rgb="FF000000"/>
      <name val="Arial"/>
    </font>
    <font>
      <b/>
      <sz val="10.0"/>
      <color rgb="FFFF0000"/>
      <name val="Arial"/>
    </font>
    <font>
      <b/>
      <sz val="10.0"/>
      <color rgb="FFFF9900"/>
      <name val="Arial"/>
    </font>
    <font>
      <b/>
      <sz val="10.0"/>
      <color rgb="FF00B05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3C5E"/>
        <bgColor rgb="FF1A3C5E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7FC"/>
        <bgColor rgb="FFF2F7FC"/>
      </patternFill>
    </fill>
    <fill>
      <patternFill patternType="solid">
        <fgColor rgb="FFFFEB9C"/>
        <bgColor rgb="FFFFEB9C"/>
      </patternFill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0"/>
    </xf>
    <xf borderId="4" fillId="5" fontId="4" numFmtId="0" xfId="0" applyAlignment="1" applyBorder="1" applyFill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5" fillId="6" fontId="6" numFmtId="0" xfId="0" applyAlignment="1" applyBorder="1" applyFill="1" applyFont="1">
      <alignment horizontal="center" shrinkToFit="0" vertical="center" wrapText="0"/>
    </xf>
    <xf borderId="6" fillId="0" fontId="2" numFmtId="0" xfId="0" applyBorder="1" applyFont="1"/>
    <xf borderId="5" fillId="0" fontId="7" numFmtId="0" xfId="0" applyAlignment="1" applyBorder="1" applyFont="1">
      <alignment shrinkToFit="0" vertical="center" wrapText="0"/>
    </xf>
    <xf borderId="7" fillId="0" fontId="2" numFmtId="0" xfId="0" applyBorder="1" applyFont="1"/>
    <xf borderId="5" fillId="7" fontId="8" numFmtId="0" xfId="0" applyAlignment="1" applyBorder="1" applyFill="1" applyFont="1">
      <alignment horizontal="center" shrinkToFit="0" vertical="center" wrapText="0"/>
    </xf>
    <xf borderId="5" fillId="8" fontId="9" numFmtId="0" xfId="0" applyAlignment="1" applyBorder="1" applyFill="1" applyFont="1">
      <alignment horizontal="center" shrinkToFit="0" vertical="center" wrapText="0"/>
    </xf>
    <xf borderId="5" fillId="9" fontId="10" numFmtId="0" xfId="0" applyAlignment="1" applyBorder="1" applyFill="1" applyFont="1">
      <alignment horizontal="center" shrinkToFit="0" vertical="center" wrapText="0"/>
    </xf>
    <xf borderId="1" fillId="2" fontId="11" numFmtId="0" xfId="0" applyAlignment="1" applyBorder="1" applyFont="1">
      <alignment horizontal="center" shrinkToFit="0" vertical="center" wrapText="0"/>
    </xf>
    <xf borderId="4" fillId="4" fontId="4" numFmtId="0" xfId="0" applyAlignment="1" applyBorder="1" applyFont="1">
      <alignment horizontal="center" readingOrder="0" shrinkToFit="0" vertical="center" wrapText="1"/>
    </xf>
    <xf borderId="4" fillId="4" fontId="12" numFmtId="0" xfId="0" applyAlignment="1" applyBorder="1" applyFont="1">
      <alignment horizontal="left" shrinkToFit="0" vertical="center" wrapText="1"/>
    </xf>
    <xf borderId="4" fillId="8" fontId="9" numFmtId="0" xfId="0" applyAlignment="1" applyBorder="1" applyFont="1">
      <alignment horizontal="center" shrinkToFit="0" vertical="center" wrapText="1"/>
    </xf>
    <xf borderId="4" fillId="4" fontId="13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readingOrder="0" shrinkToFit="0" vertical="center" wrapText="1"/>
    </xf>
    <xf borderId="4" fillId="5" fontId="12" numFmtId="0" xfId="0" applyAlignment="1" applyBorder="1" applyFont="1">
      <alignment horizontal="left" shrinkToFit="0" vertical="center" wrapText="1"/>
    </xf>
    <xf borderId="4" fillId="9" fontId="10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horizontal="center" shrinkToFit="0" vertical="center" wrapText="1"/>
    </xf>
    <xf borderId="4" fillId="4" fontId="14" numFmtId="0" xfId="0" applyAlignment="1" applyBorder="1" applyFont="1">
      <alignment horizontal="center" shrinkToFit="0" vertical="center" wrapText="1"/>
    </xf>
    <xf borderId="4" fillId="5" fontId="14" numFmtId="0" xfId="0" applyAlignment="1" applyBorder="1" applyFont="1">
      <alignment horizontal="center" shrinkToFit="0" vertical="center" wrapText="1"/>
    </xf>
    <xf borderId="4" fillId="4" fontId="15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4" fillId="8" fontId="9" numFmtId="0" xfId="0" applyAlignment="1" applyBorder="1" applyFont="1">
      <alignment horizontal="center" readingOrder="0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4" fillId="9" fontId="1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20.0"/>
    <col customWidth="1" min="3" max="6" width="14.0"/>
    <col customWidth="1" min="7" max="26" width="8.71"/>
  </cols>
  <sheetData>
    <row r="1" ht="42.0" customHeight="1">
      <c r="A1" s="1" t="s">
        <v>0</v>
      </c>
      <c r="B1" s="2"/>
      <c r="C1" s="2"/>
      <c r="D1" s="2"/>
      <c r="E1" s="2"/>
      <c r="F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30.0" customHeight="1">
      <c r="A3" s="5" t="s">
        <v>7</v>
      </c>
      <c r="B3" s="5" t="s">
        <v>8</v>
      </c>
      <c r="C3" s="5">
        <f>COUNTIF(Funcionales!A:A,"PT-F*")</f>
        <v>0</v>
      </c>
      <c r="D3" s="5">
        <f>COUNTIF(Funcionales!H:H,"Aprobado")</f>
        <v>26</v>
      </c>
      <c r="E3" s="5">
        <f>COUNTIF(Funcionales!H:H,"Fallido")</f>
        <v>9</v>
      </c>
      <c r="F3" s="5">
        <f>COUNTIF(Funcionales!H:H,"Pendiente")</f>
        <v>0</v>
      </c>
    </row>
    <row r="4" ht="30.0" customHeight="1">
      <c r="A4" s="6" t="s">
        <v>9</v>
      </c>
      <c r="B4" s="6" t="s">
        <v>10</v>
      </c>
      <c r="C4" s="6">
        <f>COUNTIF('No Funcionales'!A:A,"PT-NF*")</f>
        <v>0</v>
      </c>
      <c r="D4" s="6">
        <f>COUNTIF('No Funcionales'!H:H,"Aprobado")</f>
        <v>18</v>
      </c>
      <c r="E4" s="6">
        <f>COUNTIF('No Funcionales'!H:H,"Fallido")</f>
        <v>10</v>
      </c>
      <c r="F4" s="6">
        <f>COUNTIF('No Funcionales'!H:H,"Pendiente")</f>
        <v>0</v>
      </c>
    </row>
    <row r="5" ht="30.0" customHeight="1">
      <c r="A5" s="5" t="s">
        <v>11</v>
      </c>
      <c r="B5" s="5" t="s">
        <v>12</v>
      </c>
      <c r="C5" s="5">
        <f>COUNTIF(Regresion!A:A,"PT-R*")</f>
        <v>0</v>
      </c>
      <c r="D5" s="5">
        <f>COUNTIF(Regresion!G:G,"Aprobado")</f>
        <v>6</v>
      </c>
      <c r="E5" s="5">
        <f>COUNTIF(Regresion!G:G,"Fallido")</f>
        <v>2</v>
      </c>
      <c r="F5" s="5">
        <f>COUNTIF(Regresion!G:G,"Pendiente")</f>
        <v>0</v>
      </c>
    </row>
    <row r="6" ht="30.0" customHeight="1">
      <c r="A6" s="6" t="s">
        <v>13</v>
      </c>
      <c r="B6" s="6" t="s">
        <v>14</v>
      </c>
      <c r="C6" s="6">
        <f>COUNTIF(Usabilidad!A:A,"PT-U*")</f>
        <v>0</v>
      </c>
      <c r="D6" s="6">
        <f>COUNTIF(Usabilidad!F:F,"Aprobado")</f>
        <v>6</v>
      </c>
      <c r="E6" s="6">
        <f>COUNTIF(Usabilidad!F:F,"Fallido")</f>
        <v>4</v>
      </c>
      <c r="F6" s="6">
        <f>COUNTIF(Usabilidad!F:F,"Pendiente")</f>
        <v>0</v>
      </c>
    </row>
    <row r="7" ht="30.0" customHeight="1">
      <c r="A7" s="7" t="s">
        <v>15</v>
      </c>
      <c r="B7" s="7"/>
      <c r="C7" s="7">
        <f t="shared" ref="C7:F7" si="1">SUM(C3:C6)</f>
        <v>0</v>
      </c>
      <c r="D7" s="7">
        <f t="shared" si="1"/>
        <v>56</v>
      </c>
      <c r="E7" s="7">
        <f t="shared" si="1"/>
        <v>25</v>
      </c>
      <c r="F7" s="7">
        <f t="shared" si="1"/>
        <v>0</v>
      </c>
    </row>
    <row r="9" ht="25.5" customHeight="1">
      <c r="A9" s="8" t="s">
        <v>16</v>
      </c>
      <c r="B9" s="2"/>
      <c r="C9" s="2"/>
      <c r="D9" s="2"/>
      <c r="E9" s="2"/>
      <c r="F9" s="3"/>
    </row>
    <row r="10" ht="21.75" customHeight="1">
      <c r="A10" s="9" t="s">
        <v>17</v>
      </c>
      <c r="B10" s="10"/>
      <c r="C10" s="11" t="s">
        <v>18</v>
      </c>
      <c r="D10" s="12"/>
      <c r="E10" s="12"/>
      <c r="F10" s="12"/>
    </row>
    <row r="11" ht="21.75" customHeight="1">
      <c r="A11" s="13" t="s">
        <v>19</v>
      </c>
      <c r="B11" s="10"/>
      <c r="C11" s="11" t="s">
        <v>20</v>
      </c>
      <c r="D11" s="12"/>
      <c r="E11" s="12"/>
      <c r="F11" s="12"/>
    </row>
    <row r="12" ht="21.75" customHeight="1">
      <c r="A12" s="14" t="s">
        <v>21</v>
      </c>
      <c r="B12" s="10"/>
      <c r="C12" s="11" t="s">
        <v>22</v>
      </c>
      <c r="D12" s="12"/>
      <c r="E12" s="12"/>
      <c r="F12" s="12"/>
    </row>
    <row r="13" ht="21.75" customHeight="1">
      <c r="A13" s="15" t="s">
        <v>23</v>
      </c>
      <c r="B13" s="10"/>
      <c r="C13" s="11" t="s">
        <v>24</v>
      </c>
      <c r="D13" s="12"/>
      <c r="E13" s="12"/>
      <c r="F13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2:B12"/>
    <mergeCell ref="A13:B13"/>
    <mergeCell ref="A1:F1"/>
    <mergeCell ref="A9:F9"/>
    <mergeCell ref="A10:B10"/>
    <mergeCell ref="C10:F10"/>
    <mergeCell ref="A11:B11"/>
    <mergeCell ref="C11:F11"/>
    <mergeCell ref="C12:F12"/>
    <mergeCell ref="C13:F1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26.0"/>
    <col customWidth="1" min="3" max="3" width="34.0"/>
    <col customWidth="1" min="4" max="4" width="26.0"/>
    <col customWidth="1" min="5" max="5" width="44.0"/>
    <col customWidth="1" min="6" max="7" width="36.0"/>
    <col customWidth="1" min="8" max="8" width="13.0"/>
    <col customWidth="1" min="9" max="9" width="11.0"/>
    <col customWidth="1" min="10" max="26" width="8.71"/>
  </cols>
  <sheetData>
    <row r="1" ht="37.5" customHeight="1">
      <c r="A1" s="16" t="s">
        <v>25</v>
      </c>
      <c r="B1" s="2"/>
      <c r="C1" s="2"/>
      <c r="D1" s="2"/>
      <c r="E1" s="2"/>
      <c r="F1" s="2"/>
      <c r="G1" s="2"/>
      <c r="H1" s="2"/>
      <c r="I1" s="3"/>
    </row>
    <row r="2" ht="27.75" customHeight="1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</row>
    <row r="3" ht="49.5" customHeight="1">
      <c r="A3" s="17" t="s">
        <v>35</v>
      </c>
      <c r="B3" s="18" t="s">
        <v>36</v>
      </c>
      <c r="C3" s="18" t="s">
        <v>37</v>
      </c>
      <c r="D3" s="18" t="s">
        <v>38</v>
      </c>
      <c r="E3" s="18" t="s">
        <v>39</v>
      </c>
      <c r="F3" s="18" t="s">
        <v>40</v>
      </c>
      <c r="G3" s="18" t="s">
        <v>41</v>
      </c>
      <c r="H3" s="19" t="s">
        <v>21</v>
      </c>
      <c r="I3" s="20" t="s">
        <v>42</v>
      </c>
    </row>
    <row r="4" ht="49.5" customHeight="1">
      <c r="A4" s="21" t="s">
        <v>43</v>
      </c>
      <c r="B4" s="22" t="s">
        <v>36</v>
      </c>
      <c r="C4" s="22" t="s">
        <v>44</v>
      </c>
      <c r="D4" s="22" t="s">
        <v>38</v>
      </c>
      <c r="E4" s="22" t="s">
        <v>45</v>
      </c>
      <c r="F4" s="22" t="s">
        <v>46</v>
      </c>
      <c r="G4" s="22" t="s">
        <v>47</v>
      </c>
      <c r="H4" s="23" t="s">
        <v>23</v>
      </c>
      <c r="I4" s="24" t="s">
        <v>42</v>
      </c>
    </row>
    <row r="5" ht="49.5" customHeight="1">
      <c r="A5" s="17" t="s">
        <v>48</v>
      </c>
      <c r="B5" s="18" t="s">
        <v>36</v>
      </c>
      <c r="C5" s="18" t="s">
        <v>49</v>
      </c>
      <c r="D5" s="18" t="s">
        <v>50</v>
      </c>
      <c r="E5" s="18" t="s">
        <v>51</v>
      </c>
      <c r="F5" s="18" t="s">
        <v>52</v>
      </c>
      <c r="G5" s="18" t="s">
        <v>53</v>
      </c>
      <c r="H5" s="19" t="s">
        <v>21</v>
      </c>
      <c r="I5" s="25" t="s">
        <v>54</v>
      </c>
    </row>
    <row r="6" ht="49.5" customHeight="1">
      <c r="A6" s="21" t="s">
        <v>55</v>
      </c>
      <c r="B6" s="22" t="s">
        <v>56</v>
      </c>
      <c r="C6" s="22" t="s">
        <v>57</v>
      </c>
      <c r="D6" s="22" t="s">
        <v>58</v>
      </c>
      <c r="E6" s="22" t="s">
        <v>59</v>
      </c>
      <c r="F6" s="22" t="s">
        <v>60</v>
      </c>
      <c r="G6" s="22" t="s">
        <v>61</v>
      </c>
      <c r="H6" s="19" t="s">
        <v>21</v>
      </c>
      <c r="I6" s="24" t="s">
        <v>42</v>
      </c>
    </row>
    <row r="7" ht="49.5" customHeight="1">
      <c r="A7" s="17" t="s">
        <v>62</v>
      </c>
      <c r="B7" s="18" t="s">
        <v>56</v>
      </c>
      <c r="C7" s="18" t="s">
        <v>63</v>
      </c>
      <c r="D7" s="18" t="s">
        <v>58</v>
      </c>
      <c r="E7" s="18" t="s">
        <v>64</v>
      </c>
      <c r="F7" s="18" t="s">
        <v>65</v>
      </c>
      <c r="G7" s="18" t="s">
        <v>66</v>
      </c>
      <c r="H7" s="19" t="s">
        <v>21</v>
      </c>
      <c r="I7" s="20" t="s">
        <v>42</v>
      </c>
    </row>
    <row r="8" ht="49.5" customHeight="1">
      <c r="A8" s="21" t="s">
        <v>67</v>
      </c>
      <c r="B8" s="22" t="s">
        <v>56</v>
      </c>
      <c r="C8" s="22" t="s">
        <v>68</v>
      </c>
      <c r="D8" s="22" t="s">
        <v>69</v>
      </c>
      <c r="E8" s="22" t="s">
        <v>70</v>
      </c>
      <c r="F8" s="22" t="s">
        <v>71</v>
      </c>
      <c r="G8" s="22" t="s">
        <v>72</v>
      </c>
      <c r="H8" s="23" t="s">
        <v>23</v>
      </c>
      <c r="I8" s="26" t="s">
        <v>54</v>
      </c>
    </row>
    <row r="9" ht="49.5" customHeight="1">
      <c r="A9" s="17" t="s">
        <v>73</v>
      </c>
      <c r="B9" s="18" t="s">
        <v>74</v>
      </c>
      <c r="C9" s="18" t="s">
        <v>75</v>
      </c>
      <c r="D9" s="18" t="s">
        <v>76</v>
      </c>
      <c r="E9" s="18" t="s">
        <v>77</v>
      </c>
      <c r="F9" s="18" t="s">
        <v>78</v>
      </c>
      <c r="G9" s="18" t="s">
        <v>79</v>
      </c>
      <c r="H9" s="19" t="s">
        <v>21</v>
      </c>
      <c r="I9" s="20" t="s">
        <v>42</v>
      </c>
    </row>
    <row r="10" ht="49.5" customHeight="1">
      <c r="A10" s="21" t="s">
        <v>80</v>
      </c>
      <c r="B10" s="22" t="s">
        <v>74</v>
      </c>
      <c r="C10" s="22" t="s">
        <v>81</v>
      </c>
      <c r="D10" s="22" t="s">
        <v>76</v>
      </c>
      <c r="E10" s="22" t="s">
        <v>82</v>
      </c>
      <c r="F10" s="22" t="s">
        <v>83</v>
      </c>
      <c r="G10" s="22" t="s">
        <v>84</v>
      </c>
      <c r="H10" s="19" t="s">
        <v>21</v>
      </c>
      <c r="I10" s="24" t="s">
        <v>42</v>
      </c>
    </row>
    <row r="11" ht="49.5" customHeight="1">
      <c r="A11" s="17" t="s">
        <v>85</v>
      </c>
      <c r="B11" s="18" t="s">
        <v>86</v>
      </c>
      <c r="C11" s="18" t="s">
        <v>87</v>
      </c>
      <c r="D11" s="18" t="s">
        <v>88</v>
      </c>
      <c r="E11" s="18" t="s">
        <v>89</v>
      </c>
      <c r="F11" s="18" t="s">
        <v>90</v>
      </c>
      <c r="G11" s="18" t="s">
        <v>91</v>
      </c>
      <c r="H11" s="19" t="s">
        <v>21</v>
      </c>
      <c r="I11" s="20" t="s">
        <v>42</v>
      </c>
    </row>
    <row r="12" ht="49.5" customHeight="1">
      <c r="A12" s="21" t="s">
        <v>92</v>
      </c>
      <c r="B12" s="22" t="s">
        <v>86</v>
      </c>
      <c r="C12" s="22" t="s">
        <v>93</v>
      </c>
      <c r="D12" s="22" t="s">
        <v>94</v>
      </c>
      <c r="E12" s="22" t="s">
        <v>95</v>
      </c>
      <c r="F12" s="22" t="s">
        <v>96</v>
      </c>
      <c r="G12" s="22" t="s">
        <v>97</v>
      </c>
      <c r="H12" s="19" t="s">
        <v>21</v>
      </c>
      <c r="I12" s="24" t="s">
        <v>42</v>
      </c>
    </row>
    <row r="13" ht="49.5" customHeight="1">
      <c r="A13" s="17" t="s">
        <v>98</v>
      </c>
      <c r="B13" s="18" t="s">
        <v>99</v>
      </c>
      <c r="C13" s="18" t="s">
        <v>100</v>
      </c>
      <c r="D13" s="18" t="s">
        <v>101</v>
      </c>
      <c r="E13" s="18" t="s">
        <v>102</v>
      </c>
      <c r="F13" s="18" t="s">
        <v>103</v>
      </c>
      <c r="G13" s="18" t="s">
        <v>104</v>
      </c>
      <c r="H13" s="19" t="s">
        <v>21</v>
      </c>
      <c r="I13" s="20" t="s">
        <v>42</v>
      </c>
    </row>
    <row r="14" ht="49.5" customHeight="1">
      <c r="A14" s="21" t="s">
        <v>105</v>
      </c>
      <c r="B14" s="22" t="s">
        <v>99</v>
      </c>
      <c r="C14" s="22" t="s">
        <v>106</v>
      </c>
      <c r="D14" s="22" t="s">
        <v>107</v>
      </c>
      <c r="E14" s="22" t="s">
        <v>108</v>
      </c>
      <c r="F14" s="22" t="s">
        <v>109</v>
      </c>
      <c r="G14" s="22" t="s">
        <v>110</v>
      </c>
      <c r="H14" s="23" t="s">
        <v>23</v>
      </c>
      <c r="I14" s="26" t="s">
        <v>54</v>
      </c>
    </row>
    <row r="15" ht="49.5" customHeight="1">
      <c r="A15" s="17" t="s">
        <v>111</v>
      </c>
      <c r="B15" s="18" t="s">
        <v>99</v>
      </c>
      <c r="C15" s="18" t="s">
        <v>112</v>
      </c>
      <c r="D15" s="18" t="s">
        <v>113</v>
      </c>
      <c r="E15" s="18" t="s">
        <v>114</v>
      </c>
      <c r="F15" s="18" t="s">
        <v>115</v>
      </c>
      <c r="G15" s="18" t="s">
        <v>116</v>
      </c>
      <c r="H15" s="23" t="s">
        <v>23</v>
      </c>
      <c r="I15" s="25" t="s">
        <v>54</v>
      </c>
    </row>
    <row r="16" ht="49.5" customHeight="1">
      <c r="A16" s="21" t="s">
        <v>117</v>
      </c>
      <c r="B16" s="22" t="s">
        <v>118</v>
      </c>
      <c r="C16" s="22" t="s">
        <v>119</v>
      </c>
      <c r="D16" s="22" t="s">
        <v>120</v>
      </c>
      <c r="E16" s="22" t="s">
        <v>121</v>
      </c>
      <c r="F16" s="22" t="s">
        <v>122</v>
      </c>
      <c r="G16" s="22" t="s">
        <v>123</v>
      </c>
      <c r="H16" s="19" t="s">
        <v>21</v>
      </c>
      <c r="I16" s="24" t="s">
        <v>42</v>
      </c>
    </row>
    <row r="17" ht="49.5" customHeight="1">
      <c r="A17" s="17" t="s">
        <v>124</v>
      </c>
      <c r="B17" s="18" t="s">
        <v>118</v>
      </c>
      <c r="C17" s="18" t="s">
        <v>125</v>
      </c>
      <c r="D17" s="18" t="s">
        <v>126</v>
      </c>
      <c r="E17" s="18" t="s">
        <v>127</v>
      </c>
      <c r="F17" s="18" t="s">
        <v>128</v>
      </c>
      <c r="G17" s="18" t="s">
        <v>129</v>
      </c>
      <c r="H17" s="23" t="s">
        <v>23</v>
      </c>
      <c r="I17" s="27" t="s">
        <v>130</v>
      </c>
    </row>
    <row r="18" ht="49.5" customHeight="1">
      <c r="A18" s="17" t="s">
        <v>131</v>
      </c>
      <c r="B18" s="22" t="s">
        <v>132</v>
      </c>
      <c r="C18" s="22" t="s">
        <v>133</v>
      </c>
      <c r="D18" s="22" t="s">
        <v>134</v>
      </c>
      <c r="E18" s="22" t="s">
        <v>135</v>
      </c>
      <c r="F18" s="22" t="s">
        <v>136</v>
      </c>
      <c r="G18" s="22" t="s">
        <v>137</v>
      </c>
      <c r="H18" s="19" t="s">
        <v>21</v>
      </c>
      <c r="I18" s="24" t="s">
        <v>42</v>
      </c>
    </row>
    <row r="19" ht="49.5" customHeight="1">
      <c r="A19" s="17" t="s">
        <v>138</v>
      </c>
      <c r="B19" s="18" t="s">
        <v>132</v>
      </c>
      <c r="C19" s="18" t="s">
        <v>139</v>
      </c>
      <c r="D19" s="18" t="s">
        <v>140</v>
      </c>
      <c r="E19" s="18" t="s">
        <v>141</v>
      </c>
      <c r="F19" s="18" t="s">
        <v>142</v>
      </c>
      <c r="G19" s="18" t="s">
        <v>143</v>
      </c>
      <c r="H19" s="23" t="s">
        <v>23</v>
      </c>
      <c r="I19" s="20" t="s">
        <v>42</v>
      </c>
    </row>
    <row r="20" ht="49.5" customHeight="1">
      <c r="A20" s="17" t="s">
        <v>144</v>
      </c>
      <c r="B20" s="22" t="s">
        <v>145</v>
      </c>
      <c r="C20" s="22" t="s">
        <v>146</v>
      </c>
      <c r="D20" s="22" t="s">
        <v>147</v>
      </c>
      <c r="E20" s="22" t="s">
        <v>148</v>
      </c>
      <c r="F20" s="22" t="s">
        <v>149</v>
      </c>
      <c r="G20" s="22" t="s">
        <v>150</v>
      </c>
      <c r="H20" s="19" t="s">
        <v>21</v>
      </c>
      <c r="I20" s="24" t="s">
        <v>42</v>
      </c>
    </row>
    <row r="21" ht="49.5" customHeight="1">
      <c r="A21" s="17" t="s">
        <v>151</v>
      </c>
      <c r="B21" s="18" t="s">
        <v>152</v>
      </c>
      <c r="C21" s="18" t="s">
        <v>153</v>
      </c>
      <c r="D21" s="18" t="s">
        <v>154</v>
      </c>
      <c r="E21" s="18" t="s">
        <v>155</v>
      </c>
      <c r="F21" s="18" t="s">
        <v>156</v>
      </c>
      <c r="G21" s="18" t="s">
        <v>157</v>
      </c>
      <c r="H21" s="19" t="s">
        <v>21</v>
      </c>
      <c r="I21" s="25" t="s">
        <v>54</v>
      </c>
    </row>
    <row r="22" ht="49.5" customHeight="1">
      <c r="A22" s="17" t="s">
        <v>158</v>
      </c>
      <c r="B22" s="22" t="s">
        <v>152</v>
      </c>
      <c r="C22" s="22" t="s">
        <v>159</v>
      </c>
      <c r="D22" s="22" t="s">
        <v>160</v>
      </c>
      <c r="E22" s="22" t="s">
        <v>161</v>
      </c>
      <c r="F22" s="22" t="s">
        <v>162</v>
      </c>
      <c r="G22" s="22" t="s">
        <v>163</v>
      </c>
      <c r="H22" s="28" t="s">
        <v>19</v>
      </c>
      <c r="I22" s="26" t="s">
        <v>54</v>
      </c>
    </row>
    <row r="23" ht="49.5" customHeight="1">
      <c r="A23" s="17" t="s">
        <v>164</v>
      </c>
      <c r="B23" s="18" t="s">
        <v>165</v>
      </c>
      <c r="C23" s="18" t="s">
        <v>166</v>
      </c>
      <c r="D23" s="18" t="s">
        <v>167</v>
      </c>
      <c r="E23" s="18" t="s">
        <v>168</v>
      </c>
      <c r="F23" s="18" t="s">
        <v>169</v>
      </c>
      <c r="G23" s="18" t="s">
        <v>170</v>
      </c>
      <c r="H23" s="19" t="s">
        <v>21</v>
      </c>
      <c r="I23" s="20" t="s">
        <v>42</v>
      </c>
    </row>
    <row r="24" ht="49.5" customHeight="1">
      <c r="A24" s="17" t="s">
        <v>171</v>
      </c>
      <c r="B24" s="22" t="s">
        <v>165</v>
      </c>
      <c r="C24" s="22" t="s">
        <v>172</v>
      </c>
      <c r="D24" s="22" t="s">
        <v>167</v>
      </c>
      <c r="E24" s="22" t="s">
        <v>173</v>
      </c>
      <c r="F24" s="22" t="s">
        <v>174</v>
      </c>
      <c r="G24" s="22" t="s">
        <v>175</v>
      </c>
      <c r="H24" s="19" t="s">
        <v>21</v>
      </c>
      <c r="I24" s="24" t="s">
        <v>42</v>
      </c>
    </row>
    <row r="25" ht="49.5" customHeight="1">
      <c r="A25" s="17" t="s">
        <v>176</v>
      </c>
      <c r="B25" s="18" t="s">
        <v>177</v>
      </c>
      <c r="C25" s="18" t="s">
        <v>178</v>
      </c>
      <c r="D25" s="18" t="s">
        <v>179</v>
      </c>
      <c r="E25" s="18" t="s">
        <v>180</v>
      </c>
      <c r="F25" s="18" t="s">
        <v>181</v>
      </c>
      <c r="G25" s="18" t="s">
        <v>182</v>
      </c>
      <c r="H25" s="19" t="s">
        <v>21</v>
      </c>
      <c r="I25" s="20" t="s">
        <v>42</v>
      </c>
    </row>
    <row r="26" ht="49.5" customHeight="1">
      <c r="A26" s="17" t="s">
        <v>183</v>
      </c>
      <c r="B26" s="22" t="s">
        <v>177</v>
      </c>
      <c r="C26" s="22" t="s">
        <v>184</v>
      </c>
      <c r="D26" s="22" t="s">
        <v>179</v>
      </c>
      <c r="E26" s="22" t="s">
        <v>185</v>
      </c>
      <c r="F26" s="22" t="s">
        <v>186</v>
      </c>
      <c r="G26" s="22" t="s">
        <v>187</v>
      </c>
      <c r="H26" s="19" t="s">
        <v>21</v>
      </c>
      <c r="I26" s="24" t="s">
        <v>42</v>
      </c>
    </row>
    <row r="27" ht="49.5" customHeight="1">
      <c r="A27" s="17" t="s">
        <v>188</v>
      </c>
      <c r="B27" s="18" t="s">
        <v>177</v>
      </c>
      <c r="C27" s="18" t="s">
        <v>189</v>
      </c>
      <c r="D27" s="18" t="s">
        <v>179</v>
      </c>
      <c r="E27" s="18" t="s">
        <v>190</v>
      </c>
      <c r="F27" s="18" t="s">
        <v>191</v>
      </c>
      <c r="G27" s="18" t="s">
        <v>192</v>
      </c>
      <c r="H27" s="19" t="s">
        <v>21</v>
      </c>
      <c r="I27" s="20" t="s">
        <v>42</v>
      </c>
    </row>
    <row r="28" ht="49.5" customHeight="1">
      <c r="A28" s="17" t="s">
        <v>193</v>
      </c>
      <c r="B28" s="22" t="s">
        <v>194</v>
      </c>
      <c r="C28" s="22" t="s">
        <v>195</v>
      </c>
      <c r="D28" s="22" t="s">
        <v>196</v>
      </c>
      <c r="E28" s="22" t="s">
        <v>197</v>
      </c>
      <c r="F28" s="22" t="s">
        <v>198</v>
      </c>
      <c r="G28" s="22" t="s">
        <v>199</v>
      </c>
      <c r="H28" s="19" t="s">
        <v>21</v>
      </c>
      <c r="I28" s="24" t="s">
        <v>42</v>
      </c>
    </row>
    <row r="29" ht="49.5" customHeight="1">
      <c r="A29" s="17" t="s">
        <v>200</v>
      </c>
      <c r="B29" s="18" t="s">
        <v>194</v>
      </c>
      <c r="C29" s="18" t="s">
        <v>201</v>
      </c>
      <c r="D29" s="18" t="s">
        <v>202</v>
      </c>
      <c r="E29" s="18" t="s">
        <v>197</v>
      </c>
      <c r="F29" s="18" t="s">
        <v>203</v>
      </c>
      <c r="G29" s="18" t="s">
        <v>204</v>
      </c>
      <c r="H29" s="23" t="s">
        <v>23</v>
      </c>
      <c r="I29" s="20" t="s">
        <v>42</v>
      </c>
    </row>
    <row r="30" ht="49.5" customHeight="1">
      <c r="A30" s="17" t="s">
        <v>205</v>
      </c>
      <c r="B30" s="22" t="s">
        <v>206</v>
      </c>
      <c r="C30" s="22" t="s">
        <v>207</v>
      </c>
      <c r="D30" s="22" t="s">
        <v>208</v>
      </c>
      <c r="E30" s="22" t="s">
        <v>209</v>
      </c>
      <c r="F30" s="22" t="s">
        <v>210</v>
      </c>
      <c r="G30" s="22" t="s">
        <v>211</v>
      </c>
      <c r="H30" s="19" t="s">
        <v>21</v>
      </c>
      <c r="I30" s="24" t="s">
        <v>42</v>
      </c>
    </row>
    <row r="31" ht="49.5" customHeight="1">
      <c r="A31" s="17" t="s">
        <v>212</v>
      </c>
      <c r="B31" s="18" t="s">
        <v>206</v>
      </c>
      <c r="C31" s="18" t="s">
        <v>213</v>
      </c>
      <c r="D31" s="18" t="s">
        <v>208</v>
      </c>
      <c r="E31" s="18" t="s">
        <v>214</v>
      </c>
      <c r="F31" s="18" t="s">
        <v>215</v>
      </c>
      <c r="G31" s="18" t="s">
        <v>216</v>
      </c>
      <c r="H31" s="19" t="s">
        <v>21</v>
      </c>
      <c r="I31" s="20" t="s">
        <v>42</v>
      </c>
    </row>
    <row r="32" ht="49.5" customHeight="1">
      <c r="A32" s="17" t="s">
        <v>217</v>
      </c>
      <c r="B32" s="22" t="s">
        <v>218</v>
      </c>
      <c r="C32" s="22" t="s">
        <v>219</v>
      </c>
      <c r="D32" s="22" t="s">
        <v>220</v>
      </c>
      <c r="E32" s="22" t="s">
        <v>221</v>
      </c>
      <c r="F32" s="22" t="s">
        <v>222</v>
      </c>
      <c r="G32" s="22" t="s">
        <v>223</v>
      </c>
      <c r="H32" s="19" t="s">
        <v>21</v>
      </c>
      <c r="I32" s="24" t="s">
        <v>42</v>
      </c>
    </row>
    <row r="33" ht="49.5" customHeight="1">
      <c r="A33" s="17" t="s">
        <v>224</v>
      </c>
      <c r="B33" s="18" t="s">
        <v>218</v>
      </c>
      <c r="C33" s="18" t="s">
        <v>225</v>
      </c>
      <c r="D33" s="18" t="s">
        <v>226</v>
      </c>
      <c r="E33" s="18" t="s">
        <v>227</v>
      </c>
      <c r="F33" s="18" t="s">
        <v>228</v>
      </c>
      <c r="G33" s="18" t="s">
        <v>229</v>
      </c>
      <c r="H33" s="23" t="s">
        <v>23</v>
      </c>
      <c r="I33" s="20" t="s">
        <v>42</v>
      </c>
    </row>
    <row r="34" ht="49.5" customHeight="1">
      <c r="A34" s="17" t="s">
        <v>230</v>
      </c>
      <c r="B34" s="22" t="s">
        <v>231</v>
      </c>
      <c r="C34" s="22" t="s">
        <v>232</v>
      </c>
      <c r="D34" s="22" t="s">
        <v>233</v>
      </c>
      <c r="E34" s="22" t="s">
        <v>234</v>
      </c>
      <c r="F34" s="22" t="s">
        <v>235</v>
      </c>
      <c r="G34" s="22" t="s">
        <v>236</v>
      </c>
      <c r="H34" s="19" t="s">
        <v>21</v>
      </c>
      <c r="I34" s="24" t="s">
        <v>42</v>
      </c>
    </row>
    <row r="35" ht="49.5" customHeight="1">
      <c r="A35" s="17" t="s">
        <v>237</v>
      </c>
      <c r="B35" s="18" t="s">
        <v>238</v>
      </c>
      <c r="C35" s="18" t="s">
        <v>239</v>
      </c>
      <c r="D35" s="18" t="s">
        <v>232</v>
      </c>
      <c r="E35" s="18" t="s">
        <v>240</v>
      </c>
      <c r="F35" s="18" t="s">
        <v>241</v>
      </c>
      <c r="G35" s="18" t="s">
        <v>242</v>
      </c>
      <c r="H35" s="19" t="s">
        <v>21</v>
      </c>
      <c r="I35" s="20" t="s">
        <v>42</v>
      </c>
    </row>
    <row r="36" ht="49.5" customHeight="1">
      <c r="A36" s="17" t="s">
        <v>243</v>
      </c>
      <c r="B36" s="22" t="s">
        <v>244</v>
      </c>
      <c r="C36" s="22" t="s">
        <v>245</v>
      </c>
      <c r="D36" s="22" t="s">
        <v>246</v>
      </c>
      <c r="E36" s="22" t="s">
        <v>247</v>
      </c>
      <c r="F36" s="22" t="s">
        <v>248</v>
      </c>
      <c r="G36" s="22" t="s">
        <v>249</v>
      </c>
      <c r="H36" s="19" t="s">
        <v>21</v>
      </c>
      <c r="I36" s="24" t="s">
        <v>42</v>
      </c>
    </row>
    <row r="37" ht="49.5" customHeight="1">
      <c r="A37" s="17" t="s">
        <v>250</v>
      </c>
      <c r="B37" s="18" t="s">
        <v>244</v>
      </c>
      <c r="C37" s="18" t="s">
        <v>251</v>
      </c>
      <c r="D37" s="18" t="s">
        <v>167</v>
      </c>
      <c r="E37" s="18" t="s">
        <v>252</v>
      </c>
      <c r="F37" s="18" t="s">
        <v>253</v>
      </c>
      <c r="G37" s="18" t="s">
        <v>254</v>
      </c>
      <c r="H37" s="23" t="s">
        <v>23</v>
      </c>
      <c r="I37" s="20" t="s">
        <v>42</v>
      </c>
    </row>
    <row r="38" ht="49.5" customHeight="1">
      <c r="A38" s="17" t="s">
        <v>255</v>
      </c>
      <c r="B38" s="22" t="s">
        <v>256</v>
      </c>
      <c r="C38" s="22" t="s">
        <v>257</v>
      </c>
      <c r="D38" s="22" t="s">
        <v>258</v>
      </c>
      <c r="E38" s="22" t="s">
        <v>259</v>
      </c>
      <c r="F38" s="22" t="s">
        <v>260</v>
      </c>
      <c r="G38" s="22" t="s">
        <v>261</v>
      </c>
      <c r="H38" s="19" t="s">
        <v>21</v>
      </c>
      <c r="I38" s="24" t="s">
        <v>42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38"/>
  <mergeCells count="1">
    <mergeCell ref="A1:I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7.0"/>
    <col customWidth="1" min="3" max="3" width="22.0"/>
    <col customWidth="1" min="4" max="4" width="32.0"/>
    <col customWidth="1" min="5" max="5" width="42.0"/>
    <col customWidth="1" min="6" max="6" width="36.0"/>
    <col customWidth="1" min="7" max="7" width="24.0"/>
    <col customWidth="1" min="8" max="8" width="13.0"/>
    <col customWidth="1" min="9" max="9" width="11.0"/>
    <col customWidth="1" min="10" max="10" width="44.0"/>
    <col customWidth="1" min="11" max="26" width="8.71"/>
  </cols>
  <sheetData>
    <row r="1" ht="37.5" customHeight="1">
      <c r="A1" s="16" t="s">
        <v>262</v>
      </c>
      <c r="B1" s="2"/>
      <c r="C1" s="2"/>
      <c r="D1" s="2"/>
      <c r="E1" s="2"/>
      <c r="F1" s="2"/>
      <c r="G1" s="2"/>
      <c r="H1" s="2"/>
      <c r="I1" s="3"/>
    </row>
    <row r="2" ht="27.75" customHeight="1">
      <c r="A2" s="4" t="s">
        <v>26</v>
      </c>
      <c r="B2" s="4" t="s">
        <v>263</v>
      </c>
      <c r="C2" s="4" t="s">
        <v>264</v>
      </c>
      <c r="D2" s="4" t="s">
        <v>28</v>
      </c>
      <c r="E2" s="4" t="s">
        <v>265</v>
      </c>
      <c r="F2" s="4" t="s">
        <v>266</v>
      </c>
      <c r="G2" s="4" t="s">
        <v>267</v>
      </c>
      <c r="H2" s="4" t="s">
        <v>33</v>
      </c>
      <c r="I2" s="4" t="s">
        <v>34</v>
      </c>
      <c r="J2" s="4" t="s">
        <v>268</v>
      </c>
    </row>
    <row r="3" ht="49.5" customHeight="1">
      <c r="A3" s="17" t="s">
        <v>35</v>
      </c>
      <c r="B3" s="18" t="s">
        <v>269</v>
      </c>
      <c r="C3" s="18" t="s">
        <v>270</v>
      </c>
      <c r="D3" s="18" t="s">
        <v>271</v>
      </c>
      <c r="E3" s="18" t="s">
        <v>272</v>
      </c>
      <c r="F3" s="18" t="s">
        <v>273</v>
      </c>
      <c r="G3" s="18" t="s">
        <v>274</v>
      </c>
      <c r="H3" s="19" t="s">
        <v>21</v>
      </c>
      <c r="I3" s="20" t="s">
        <v>42</v>
      </c>
    </row>
    <row r="4" ht="49.5" customHeight="1">
      <c r="A4" s="17" t="s">
        <v>43</v>
      </c>
      <c r="B4" s="22" t="s">
        <v>269</v>
      </c>
      <c r="C4" s="22" t="s">
        <v>270</v>
      </c>
      <c r="D4" s="22" t="s">
        <v>275</v>
      </c>
      <c r="E4" s="22" t="s">
        <v>276</v>
      </c>
      <c r="F4" s="22" t="s">
        <v>277</v>
      </c>
      <c r="G4" s="22" t="s">
        <v>278</v>
      </c>
      <c r="H4" s="19" t="s">
        <v>21</v>
      </c>
      <c r="I4" s="24" t="s">
        <v>42</v>
      </c>
      <c r="J4" s="22" t="s">
        <v>279</v>
      </c>
    </row>
    <row r="5" ht="49.5" customHeight="1">
      <c r="A5" s="17" t="s">
        <v>48</v>
      </c>
      <c r="B5" s="18" t="s">
        <v>269</v>
      </c>
      <c r="C5" s="18" t="s">
        <v>270</v>
      </c>
      <c r="D5" s="18" t="s">
        <v>280</v>
      </c>
      <c r="E5" s="18" t="s">
        <v>281</v>
      </c>
      <c r="F5" s="18" t="s">
        <v>282</v>
      </c>
      <c r="G5" s="18" t="s">
        <v>274</v>
      </c>
      <c r="H5" s="19" t="s">
        <v>21</v>
      </c>
      <c r="I5" s="20" t="s">
        <v>42</v>
      </c>
      <c r="J5" s="18" t="s">
        <v>283</v>
      </c>
    </row>
    <row r="6" ht="49.5" customHeight="1">
      <c r="A6" s="17" t="s">
        <v>55</v>
      </c>
      <c r="B6" s="22" t="s">
        <v>284</v>
      </c>
      <c r="C6" s="22" t="s">
        <v>270</v>
      </c>
      <c r="D6" s="22" t="s">
        <v>285</v>
      </c>
      <c r="E6" s="22" t="s">
        <v>286</v>
      </c>
      <c r="F6" s="22" t="s">
        <v>287</v>
      </c>
      <c r="G6" s="22" t="s">
        <v>288</v>
      </c>
      <c r="H6" s="19" t="s">
        <v>21</v>
      </c>
      <c r="I6" s="24" t="s">
        <v>42</v>
      </c>
      <c r="J6" s="22" t="s">
        <v>289</v>
      </c>
    </row>
    <row r="7" ht="49.5" customHeight="1">
      <c r="A7" s="17" t="s">
        <v>62</v>
      </c>
      <c r="B7" s="18" t="s">
        <v>284</v>
      </c>
      <c r="C7" s="18" t="s">
        <v>270</v>
      </c>
      <c r="D7" s="18" t="s">
        <v>290</v>
      </c>
      <c r="E7" s="18" t="s">
        <v>291</v>
      </c>
      <c r="F7" s="18" t="s">
        <v>292</v>
      </c>
      <c r="G7" s="18" t="s">
        <v>288</v>
      </c>
      <c r="H7" s="23" t="s">
        <v>23</v>
      </c>
      <c r="I7" s="20" t="s">
        <v>42</v>
      </c>
      <c r="J7" s="18" t="s">
        <v>293</v>
      </c>
    </row>
    <row r="8" ht="49.5" customHeight="1">
      <c r="A8" s="17" t="s">
        <v>67</v>
      </c>
      <c r="B8" s="22" t="s">
        <v>284</v>
      </c>
      <c r="C8" s="22" t="s">
        <v>270</v>
      </c>
      <c r="D8" s="22" t="s">
        <v>294</v>
      </c>
      <c r="E8" s="22" t="s">
        <v>295</v>
      </c>
      <c r="F8" s="22" t="s">
        <v>296</v>
      </c>
      <c r="G8" s="22" t="s">
        <v>297</v>
      </c>
      <c r="H8" s="23" t="s">
        <v>23</v>
      </c>
      <c r="I8" s="24" t="s">
        <v>42</v>
      </c>
      <c r="J8" s="22" t="s">
        <v>298</v>
      </c>
    </row>
    <row r="9" ht="49.5" customHeight="1">
      <c r="A9" s="17" t="s">
        <v>299</v>
      </c>
      <c r="B9" s="18" t="s">
        <v>269</v>
      </c>
      <c r="C9" s="18" t="s">
        <v>270</v>
      </c>
      <c r="D9" s="18" t="s">
        <v>300</v>
      </c>
      <c r="E9" s="18" t="s">
        <v>301</v>
      </c>
      <c r="F9" s="18" t="s">
        <v>302</v>
      </c>
      <c r="G9" s="18" t="s">
        <v>274</v>
      </c>
      <c r="H9" s="19" t="s">
        <v>21</v>
      </c>
      <c r="I9" s="25" t="s">
        <v>54</v>
      </c>
      <c r="J9" s="18" t="s">
        <v>303</v>
      </c>
    </row>
    <row r="10" ht="49.5" customHeight="1">
      <c r="A10" s="17" t="s">
        <v>80</v>
      </c>
      <c r="B10" s="22" t="s">
        <v>269</v>
      </c>
      <c r="C10" s="22" t="s">
        <v>270</v>
      </c>
      <c r="D10" s="22" t="s">
        <v>304</v>
      </c>
      <c r="E10" s="22" t="s">
        <v>305</v>
      </c>
      <c r="F10" s="22" t="s">
        <v>306</v>
      </c>
      <c r="G10" s="22" t="s">
        <v>307</v>
      </c>
      <c r="H10" s="29" t="s">
        <v>21</v>
      </c>
      <c r="I10" s="26" t="s">
        <v>54</v>
      </c>
      <c r="J10" s="22" t="s">
        <v>308</v>
      </c>
    </row>
    <row r="11" ht="49.5" customHeight="1">
      <c r="A11" s="17" t="s">
        <v>85</v>
      </c>
      <c r="B11" s="18" t="s">
        <v>309</v>
      </c>
      <c r="C11" s="18" t="s">
        <v>310</v>
      </c>
      <c r="D11" s="18" t="s">
        <v>311</v>
      </c>
      <c r="E11" s="18" t="s">
        <v>312</v>
      </c>
      <c r="F11" s="18" t="s">
        <v>313</v>
      </c>
      <c r="G11" s="18" t="s">
        <v>314</v>
      </c>
      <c r="H11" s="19" t="s">
        <v>21</v>
      </c>
      <c r="I11" s="20" t="s">
        <v>42</v>
      </c>
    </row>
    <row r="12" ht="49.5" customHeight="1">
      <c r="A12" s="17" t="s">
        <v>92</v>
      </c>
      <c r="B12" s="22" t="s">
        <v>309</v>
      </c>
      <c r="C12" s="22" t="s">
        <v>310</v>
      </c>
      <c r="D12" s="22" t="s">
        <v>315</v>
      </c>
      <c r="E12" s="22" t="s">
        <v>316</v>
      </c>
      <c r="F12" s="22" t="s">
        <v>313</v>
      </c>
      <c r="G12" s="22" t="s">
        <v>314</v>
      </c>
      <c r="H12" s="19" t="s">
        <v>21</v>
      </c>
      <c r="I12" s="24" t="s">
        <v>42</v>
      </c>
      <c r="J12" s="22" t="s">
        <v>317</v>
      </c>
    </row>
    <row r="13" ht="49.5" customHeight="1">
      <c r="A13" s="17" t="s">
        <v>98</v>
      </c>
      <c r="B13" s="18" t="s">
        <v>309</v>
      </c>
      <c r="C13" s="18" t="s">
        <v>310</v>
      </c>
      <c r="D13" s="18" t="s">
        <v>318</v>
      </c>
      <c r="E13" s="18" t="s">
        <v>319</v>
      </c>
      <c r="F13" s="18" t="s">
        <v>320</v>
      </c>
      <c r="G13" s="18" t="s">
        <v>321</v>
      </c>
      <c r="H13" s="19" t="s">
        <v>21</v>
      </c>
      <c r="I13" s="20" t="s">
        <v>42</v>
      </c>
      <c r="J13" s="18" t="s">
        <v>322</v>
      </c>
    </row>
    <row r="14" ht="49.5" customHeight="1">
      <c r="A14" s="17" t="s">
        <v>105</v>
      </c>
      <c r="B14" s="22" t="s">
        <v>309</v>
      </c>
      <c r="C14" s="22" t="s">
        <v>310</v>
      </c>
      <c r="D14" s="22" t="s">
        <v>323</v>
      </c>
      <c r="E14" s="22" t="s">
        <v>324</v>
      </c>
      <c r="F14" s="22" t="s">
        <v>325</v>
      </c>
      <c r="G14" s="22" t="s">
        <v>321</v>
      </c>
      <c r="H14" s="19" t="s">
        <v>21</v>
      </c>
      <c r="I14" s="24" t="s">
        <v>42</v>
      </c>
      <c r="J14" s="22" t="s">
        <v>326</v>
      </c>
    </row>
    <row r="15" ht="49.5" customHeight="1">
      <c r="A15" s="17" t="s">
        <v>111</v>
      </c>
      <c r="B15" s="18" t="s">
        <v>309</v>
      </c>
      <c r="C15" s="18" t="s">
        <v>310</v>
      </c>
      <c r="D15" s="18" t="s">
        <v>327</v>
      </c>
      <c r="E15" s="18" t="s">
        <v>328</v>
      </c>
      <c r="F15" s="18" t="s">
        <v>329</v>
      </c>
      <c r="G15" s="18" t="s">
        <v>314</v>
      </c>
      <c r="H15" s="23" t="s">
        <v>23</v>
      </c>
      <c r="I15" s="25" t="s">
        <v>54</v>
      </c>
      <c r="J15" s="18" t="s">
        <v>330</v>
      </c>
    </row>
    <row r="16" ht="49.5" customHeight="1">
      <c r="A16" s="17" t="s">
        <v>117</v>
      </c>
      <c r="B16" s="22" t="s">
        <v>309</v>
      </c>
      <c r="C16" s="22" t="s">
        <v>310</v>
      </c>
      <c r="D16" s="22" t="s">
        <v>331</v>
      </c>
      <c r="E16" s="22" t="s">
        <v>332</v>
      </c>
      <c r="F16" s="22" t="s">
        <v>333</v>
      </c>
      <c r="G16" s="22" t="s">
        <v>314</v>
      </c>
      <c r="H16" s="29" t="s">
        <v>21</v>
      </c>
      <c r="I16" s="30" t="s">
        <v>130</v>
      </c>
      <c r="J16" s="22" t="s">
        <v>334</v>
      </c>
    </row>
    <row r="17" ht="49.5" customHeight="1">
      <c r="A17" s="17" t="s">
        <v>124</v>
      </c>
      <c r="B17" s="18" t="s">
        <v>309</v>
      </c>
      <c r="C17" s="18" t="s">
        <v>310</v>
      </c>
      <c r="D17" s="18" t="s">
        <v>335</v>
      </c>
      <c r="E17" s="18" t="s">
        <v>336</v>
      </c>
      <c r="F17" s="18" t="s">
        <v>337</v>
      </c>
      <c r="G17" s="18" t="s">
        <v>321</v>
      </c>
      <c r="H17" s="23" t="s">
        <v>23</v>
      </c>
      <c r="I17" s="25" t="s">
        <v>54</v>
      </c>
    </row>
    <row r="18" ht="49.5" customHeight="1">
      <c r="A18" s="17" t="s">
        <v>131</v>
      </c>
      <c r="B18" s="22" t="s">
        <v>309</v>
      </c>
      <c r="C18" s="22" t="s">
        <v>310</v>
      </c>
      <c r="D18" s="22" t="s">
        <v>338</v>
      </c>
      <c r="E18" s="22" t="s">
        <v>339</v>
      </c>
      <c r="F18" s="22" t="s">
        <v>340</v>
      </c>
      <c r="G18" s="22" t="s">
        <v>341</v>
      </c>
      <c r="H18" s="19" t="s">
        <v>21</v>
      </c>
      <c r="I18" s="24" t="s">
        <v>42</v>
      </c>
      <c r="J18" s="22" t="s">
        <v>342</v>
      </c>
    </row>
    <row r="19" ht="49.5" customHeight="1">
      <c r="A19" s="17" t="s">
        <v>138</v>
      </c>
      <c r="B19" s="18" t="s">
        <v>343</v>
      </c>
      <c r="C19" s="18" t="s">
        <v>344</v>
      </c>
      <c r="D19" s="18" t="s">
        <v>345</v>
      </c>
      <c r="E19" s="18" t="s">
        <v>346</v>
      </c>
      <c r="F19" s="18" t="s">
        <v>347</v>
      </c>
      <c r="G19" s="18" t="s">
        <v>348</v>
      </c>
      <c r="H19" s="19" t="s">
        <v>21</v>
      </c>
      <c r="I19" s="20" t="s">
        <v>42</v>
      </c>
      <c r="J19" s="18" t="s">
        <v>349</v>
      </c>
    </row>
    <row r="20" ht="49.5" customHeight="1">
      <c r="A20" s="17" t="s">
        <v>144</v>
      </c>
      <c r="B20" s="22" t="s">
        <v>343</v>
      </c>
      <c r="C20" s="22" t="s">
        <v>344</v>
      </c>
      <c r="D20" s="22" t="s">
        <v>350</v>
      </c>
      <c r="E20" s="22" t="s">
        <v>351</v>
      </c>
      <c r="F20" s="22" t="s">
        <v>352</v>
      </c>
      <c r="G20" s="22" t="s">
        <v>353</v>
      </c>
      <c r="H20" s="19" t="s">
        <v>21</v>
      </c>
      <c r="I20" s="24" t="s">
        <v>42</v>
      </c>
      <c r="J20" s="22" t="s">
        <v>354</v>
      </c>
    </row>
    <row r="21" ht="49.5" customHeight="1">
      <c r="A21" s="17" t="s">
        <v>151</v>
      </c>
      <c r="B21" s="18" t="s">
        <v>343</v>
      </c>
      <c r="C21" s="18" t="s">
        <v>344</v>
      </c>
      <c r="D21" s="18" t="s">
        <v>355</v>
      </c>
      <c r="E21" s="18" t="s">
        <v>356</v>
      </c>
      <c r="F21" s="18" t="s">
        <v>357</v>
      </c>
      <c r="G21" s="18" t="s">
        <v>353</v>
      </c>
      <c r="H21" s="23" t="s">
        <v>23</v>
      </c>
      <c r="I21" s="20" t="s">
        <v>42</v>
      </c>
      <c r="J21" s="18" t="s">
        <v>358</v>
      </c>
    </row>
    <row r="22" ht="49.5" customHeight="1">
      <c r="A22" s="17" t="s">
        <v>158</v>
      </c>
      <c r="B22" s="22" t="s">
        <v>343</v>
      </c>
      <c r="C22" s="22" t="s">
        <v>344</v>
      </c>
      <c r="D22" s="22" t="s">
        <v>359</v>
      </c>
      <c r="E22" s="22" t="s">
        <v>360</v>
      </c>
      <c r="F22" s="22" t="s">
        <v>361</v>
      </c>
      <c r="G22" s="22" t="s">
        <v>362</v>
      </c>
      <c r="H22" s="23" t="s">
        <v>23</v>
      </c>
      <c r="I22" s="24" t="s">
        <v>42</v>
      </c>
      <c r="J22" s="22" t="s">
        <v>363</v>
      </c>
    </row>
    <row r="23" ht="49.5" customHeight="1">
      <c r="A23" s="17" t="s">
        <v>164</v>
      </c>
      <c r="B23" s="18" t="s">
        <v>343</v>
      </c>
      <c r="C23" s="18" t="s">
        <v>344</v>
      </c>
      <c r="D23" s="18" t="s">
        <v>364</v>
      </c>
      <c r="E23" s="18" t="s">
        <v>365</v>
      </c>
      <c r="F23" s="18" t="s">
        <v>366</v>
      </c>
      <c r="G23" s="18" t="s">
        <v>367</v>
      </c>
      <c r="H23" s="31" t="s">
        <v>23</v>
      </c>
      <c r="I23" s="25" t="s">
        <v>54</v>
      </c>
      <c r="J23" s="18" t="s">
        <v>368</v>
      </c>
    </row>
    <row r="24" ht="49.5" customHeight="1">
      <c r="A24" s="17" t="s">
        <v>171</v>
      </c>
      <c r="B24" s="22" t="s">
        <v>343</v>
      </c>
      <c r="C24" s="22" t="s">
        <v>344</v>
      </c>
      <c r="D24" s="22" t="s">
        <v>369</v>
      </c>
      <c r="E24" s="22" t="s">
        <v>370</v>
      </c>
      <c r="F24" s="22" t="s">
        <v>371</v>
      </c>
      <c r="G24" s="22" t="s">
        <v>353</v>
      </c>
      <c r="H24" s="23" t="s">
        <v>23</v>
      </c>
      <c r="I24" s="26" t="s">
        <v>54</v>
      </c>
    </row>
    <row r="25" ht="49.5" customHeight="1">
      <c r="A25" s="17" t="s">
        <v>176</v>
      </c>
      <c r="B25" s="18" t="s">
        <v>372</v>
      </c>
      <c r="C25" s="18" t="s">
        <v>373</v>
      </c>
      <c r="D25" s="18" t="s">
        <v>374</v>
      </c>
      <c r="E25" s="18" t="s">
        <v>375</v>
      </c>
      <c r="F25" s="18" t="s">
        <v>376</v>
      </c>
      <c r="G25" s="18" t="s">
        <v>377</v>
      </c>
      <c r="H25" s="19" t="s">
        <v>21</v>
      </c>
      <c r="I25" s="20" t="s">
        <v>42</v>
      </c>
    </row>
    <row r="26" ht="49.5" customHeight="1">
      <c r="A26" s="17" t="s">
        <v>183</v>
      </c>
      <c r="B26" s="22" t="s">
        <v>372</v>
      </c>
      <c r="C26" s="22" t="s">
        <v>373</v>
      </c>
      <c r="D26" s="22" t="s">
        <v>378</v>
      </c>
      <c r="E26" s="22" t="s">
        <v>379</v>
      </c>
      <c r="F26" s="22" t="s">
        <v>380</v>
      </c>
      <c r="G26" s="22" t="s">
        <v>381</v>
      </c>
      <c r="H26" s="23" t="s">
        <v>23</v>
      </c>
      <c r="I26" s="24" t="s">
        <v>42</v>
      </c>
      <c r="J26" s="22" t="s">
        <v>382</v>
      </c>
    </row>
    <row r="27" ht="49.5" customHeight="1">
      <c r="A27" s="17" t="s">
        <v>188</v>
      </c>
      <c r="B27" s="18" t="s">
        <v>372</v>
      </c>
      <c r="C27" s="18" t="s">
        <v>373</v>
      </c>
      <c r="D27" s="18" t="s">
        <v>383</v>
      </c>
      <c r="E27" s="18" t="s">
        <v>384</v>
      </c>
      <c r="F27" s="18" t="s">
        <v>385</v>
      </c>
      <c r="G27" s="18" t="s">
        <v>386</v>
      </c>
      <c r="H27" s="19" t="s">
        <v>21</v>
      </c>
      <c r="I27" s="20" t="s">
        <v>42</v>
      </c>
      <c r="J27" s="18" t="s">
        <v>387</v>
      </c>
    </row>
    <row r="28" ht="49.5" customHeight="1">
      <c r="A28" s="17" t="s">
        <v>193</v>
      </c>
      <c r="B28" s="22" t="s">
        <v>372</v>
      </c>
      <c r="C28" s="22" t="s">
        <v>373</v>
      </c>
      <c r="D28" s="22" t="s">
        <v>388</v>
      </c>
      <c r="E28" s="22" t="s">
        <v>389</v>
      </c>
      <c r="F28" s="22" t="s">
        <v>390</v>
      </c>
      <c r="G28" s="22" t="s">
        <v>353</v>
      </c>
      <c r="H28" s="19" t="s">
        <v>21</v>
      </c>
      <c r="I28" s="24" t="s">
        <v>42</v>
      </c>
      <c r="J28" s="22" t="s">
        <v>391</v>
      </c>
    </row>
    <row r="29" ht="49.5" customHeight="1">
      <c r="A29" s="17" t="s">
        <v>200</v>
      </c>
      <c r="B29" s="18" t="s">
        <v>372</v>
      </c>
      <c r="C29" s="18" t="s">
        <v>373</v>
      </c>
      <c r="D29" s="18" t="s">
        <v>392</v>
      </c>
      <c r="E29" s="18" t="s">
        <v>393</v>
      </c>
      <c r="F29" s="18" t="s">
        <v>394</v>
      </c>
      <c r="G29" s="18" t="s">
        <v>395</v>
      </c>
      <c r="H29" s="19" t="s">
        <v>21</v>
      </c>
      <c r="I29" s="20" t="s">
        <v>42</v>
      </c>
      <c r="J29" s="18" t="s">
        <v>396</v>
      </c>
    </row>
    <row r="30" ht="49.5" customHeight="1">
      <c r="A30" s="17" t="s">
        <v>205</v>
      </c>
      <c r="B30" s="22" t="s">
        <v>372</v>
      </c>
      <c r="C30" s="22" t="s">
        <v>373</v>
      </c>
      <c r="D30" s="22" t="s">
        <v>397</v>
      </c>
      <c r="E30" s="22" t="s">
        <v>398</v>
      </c>
      <c r="F30" s="22" t="s">
        <v>399</v>
      </c>
      <c r="G30" s="22" t="s">
        <v>400</v>
      </c>
      <c r="H30" s="31" t="s">
        <v>23</v>
      </c>
      <c r="I30" s="26" t="s">
        <v>54</v>
      </c>
      <c r="J30" s="22" t="s">
        <v>401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30"/>
  <mergeCells count="1">
    <mergeCell ref="A1:I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24.0"/>
    <col customWidth="1" min="3" max="3" width="34.0"/>
    <col customWidth="1" min="4" max="4" width="26.0"/>
    <col customWidth="1" min="5" max="5" width="48.0"/>
    <col customWidth="1" min="6" max="6" width="40.0"/>
    <col customWidth="1" min="7" max="7" width="13.0"/>
    <col customWidth="1" min="8" max="8" width="11.0"/>
    <col customWidth="1" min="9" max="9" width="46.0"/>
    <col customWidth="1" min="10" max="26" width="8.71"/>
  </cols>
  <sheetData>
    <row r="1" ht="37.5" customHeight="1">
      <c r="A1" s="16" t="s">
        <v>402</v>
      </c>
      <c r="B1" s="2"/>
      <c r="C1" s="2"/>
      <c r="D1" s="2"/>
      <c r="E1" s="2"/>
      <c r="F1" s="2"/>
      <c r="G1" s="2"/>
      <c r="H1" s="3"/>
    </row>
    <row r="2" ht="27.75" customHeight="1">
      <c r="A2" s="4" t="s">
        <v>26</v>
      </c>
      <c r="B2" s="4" t="s">
        <v>403</v>
      </c>
      <c r="C2" s="4" t="s">
        <v>28</v>
      </c>
      <c r="D2" s="4" t="s">
        <v>404</v>
      </c>
      <c r="E2" s="4" t="s">
        <v>405</v>
      </c>
      <c r="F2" s="4" t="s">
        <v>31</v>
      </c>
      <c r="G2" s="4" t="s">
        <v>33</v>
      </c>
      <c r="H2" s="4" t="s">
        <v>34</v>
      </c>
      <c r="I2" s="4" t="s">
        <v>268</v>
      </c>
    </row>
    <row r="3" ht="49.5" customHeight="1">
      <c r="A3" s="17" t="s">
        <v>35</v>
      </c>
      <c r="B3" s="18" t="s">
        <v>406</v>
      </c>
      <c r="C3" s="18" t="s">
        <v>407</v>
      </c>
      <c r="D3" s="18" t="s">
        <v>408</v>
      </c>
      <c r="E3" s="18" t="s">
        <v>409</v>
      </c>
      <c r="F3" s="18" t="s">
        <v>410</v>
      </c>
      <c r="G3" s="19" t="s">
        <v>21</v>
      </c>
      <c r="H3" s="20" t="s">
        <v>42</v>
      </c>
      <c r="I3" s="18" t="s">
        <v>411</v>
      </c>
    </row>
    <row r="4" ht="49.5" customHeight="1">
      <c r="A4" s="17" t="s">
        <v>43</v>
      </c>
      <c r="B4" s="22" t="s">
        <v>412</v>
      </c>
      <c r="C4" s="22" t="s">
        <v>413</v>
      </c>
      <c r="D4" s="22" t="s">
        <v>414</v>
      </c>
      <c r="E4" s="22" t="s">
        <v>415</v>
      </c>
      <c r="F4" s="22" t="s">
        <v>416</v>
      </c>
      <c r="G4" s="19" t="s">
        <v>21</v>
      </c>
      <c r="H4" s="24" t="s">
        <v>42</v>
      </c>
      <c r="I4" s="22" t="s">
        <v>417</v>
      </c>
    </row>
    <row r="5" ht="49.5" customHeight="1">
      <c r="A5" s="17" t="s">
        <v>48</v>
      </c>
      <c r="B5" s="18" t="s">
        <v>418</v>
      </c>
      <c r="C5" s="18" t="s">
        <v>419</v>
      </c>
      <c r="D5" s="18" t="s">
        <v>420</v>
      </c>
      <c r="E5" s="18" t="s">
        <v>421</v>
      </c>
      <c r="F5" s="18" t="s">
        <v>422</v>
      </c>
      <c r="G5" s="23" t="s">
        <v>23</v>
      </c>
      <c r="H5" s="20" t="s">
        <v>42</v>
      </c>
      <c r="I5" s="18" t="s">
        <v>423</v>
      </c>
    </row>
    <row r="6" ht="49.5" customHeight="1">
      <c r="A6" s="17" t="s">
        <v>55</v>
      </c>
      <c r="B6" s="22" t="s">
        <v>424</v>
      </c>
      <c r="C6" s="22" t="s">
        <v>425</v>
      </c>
      <c r="D6" s="22" t="s">
        <v>426</v>
      </c>
      <c r="E6" s="22" t="s">
        <v>427</v>
      </c>
      <c r="F6" s="22" t="s">
        <v>428</v>
      </c>
      <c r="G6" s="19" t="s">
        <v>21</v>
      </c>
      <c r="H6" s="24" t="s">
        <v>42</v>
      </c>
      <c r="I6" s="22" t="s">
        <v>429</v>
      </c>
    </row>
    <row r="7" ht="49.5" customHeight="1">
      <c r="A7" s="17" t="s">
        <v>62</v>
      </c>
      <c r="B7" s="18" t="s">
        <v>430</v>
      </c>
      <c r="C7" s="18" t="s">
        <v>431</v>
      </c>
      <c r="D7" s="18" t="s">
        <v>432</v>
      </c>
      <c r="E7" s="18" t="s">
        <v>433</v>
      </c>
      <c r="F7" s="18" t="s">
        <v>434</v>
      </c>
      <c r="G7" s="23" t="s">
        <v>23</v>
      </c>
      <c r="H7" s="20" t="s">
        <v>42</v>
      </c>
      <c r="I7" s="18" t="s">
        <v>435</v>
      </c>
    </row>
    <row r="8" ht="49.5" customHeight="1">
      <c r="A8" s="17" t="s">
        <v>67</v>
      </c>
      <c r="B8" s="22" t="s">
        <v>436</v>
      </c>
      <c r="C8" s="22" t="s">
        <v>437</v>
      </c>
      <c r="D8" s="22" t="s">
        <v>438</v>
      </c>
      <c r="E8" s="22" t="s">
        <v>439</v>
      </c>
      <c r="F8" s="22" t="s">
        <v>440</v>
      </c>
      <c r="G8" s="19" t="s">
        <v>21</v>
      </c>
      <c r="H8" s="26" t="s">
        <v>54</v>
      </c>
      <c r="I8" s="22" t="s">
        <v>441</v>
      </c>
    </row>
    <row r="9" ht="49.5" customHeight="1">
      <c r="A9" s="17" t="s">
        <v>299</v>
      </c>
      <c r="B9" s="18" t="s">
        <v>442</v>
      </c>
      <c r="C9" s="18" t="s">
        <v>443</v>
      </c>
      <c r="D9" s="18" t="s">
        <v>444</v>
      </c>
      <c r="E9" s="18" t="s">
        <v>445</v>
      </c>
      <c r="F9" s="18" t="s">
        <v>446</v>
      </c>
      <c r="G9" s="19" t="s">
        <v>21</v>
      </c>
      <c r="H9" s="20" t="s">
        <v>42</v>
      </c>
    </row>
    <row r="10" ht="49.5" customHeight="1">
      <c r="A10" s="17" t="s">
        <v>80</v>
      </c>
      <c r="B10" s="22" t="s">
        <v>447</v>
      </c>
      <c r="C10" s="22" t="s">
        <v>448</v>
      </c>
      <c r="D10" s="22" t="s">
        <v>449</v>
      </c>
      <c r="E10" s="22" t="s">
        <v>450</v>
      </c>
      <c r="F10" s="22" t="s">
        <v>451</v>
      </c>
      <c r="G10" s="29" t="s">
        <v>21</v>
      </c>
      <c r="H10" s="24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0"/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24.0"/>
    <col customWidth="1" min="3" max="3" width="42.0"/>
    <col customWidth="1" min="4" max="4" width="35.0"/>
    <col customWidth="1" min="5" max="5" width="26.0"/>
    <col customWidth="1" min="6" max="6" width="13.0"/>
    <col customWidth="1" min="7" max="7" width="11.0"/>
    <col customWidth="1" min="8" max="8" width="46.0"/>
    <col customWidth="1" min="9" max="26" width="8.71"/>
  </cols>
  <sheetData>
    <row r="1" ht="37.5" customHeight="1">
      <c r="A1" s="16" t="s">
        <v>452</v>
      </c>
      <c r="B1" s="2"/>
      <c r="C1" s="2"/>
      <c r="D1" s="2"/>
      <c r="E1" s="2"/>
      <c r="F1" s="2"/>
      <c r="G1" s="3"/>
    </row>
    <row r="2" ht="27.75" customHeight="1">
      <c r="A2" s="4" t="s">
        <v>26</v>
      </c>
      <c r="B2" s="4" t="s">
        <v>453</v>
      </c>
      <c r="C2" s="4" t="s">
        <v>454</v>
      </c>
      <c r="D2" s="4" t="s">
        <v>455</v>
      </c>
      <c r="E2" s="4" t="s">
        <v>456</v>
      </c>
      <c r="F2" s="4" t="s">
        <v>33</v>
      </c>
      <c r="G2" s="4" t="s">
        <v>34</v>
      </c>
      <c r="H2" s="4" t="s">
        <v>268</v>
      </c>
    </row>
    <row r="3" ht="49.5" customHeight="1">
      <c r="A3" s="17" t="s">
        <v>35</v>
      </c>
      <c r="B3" s="18" t="s">
        <v>457</v>
      </c>
      <c r="C3" s="18" t="s">
        <v>458</v>
      </c>
      <c r="D3" s="18" t="s">
        <v>459</v>
      </c>
      <c r="E3" s="18" t="s">
        <v>460</v>
      </c>
      <c r="F3" s="19" t="s">
        <v>21</v>
      </c>
      <c r="G3" s="20" t="s">
        <v>42</v>
      </c>
      <c r="H3" s="18" t="s">
        <v>461</v>
      </c>
    </row>
    <row r="4" ht="49.5" customHeight="1">
      <c r="A4" s="17" t="s">
        <v>43</v>
      </c>
      <c r="B4" s="22" t="s">
        <v>462</v>
      </c>
      <c r="C4" s="22" t="s">
        <v>463</v>
      </c>
      <c r="D4" s="22" t="s">
        <v>464</v>
      </c>
      <c r="E4" s="22" t="s">
        <v>465</v>
      </c>
      <c r="F4" s="19" t="s">
        <v>21</v>
      </c>
      <c r="G4" s="24" t="s">
        <v>42</v>
      </c>
      <c r="H4" s="22" t="s">
        <v>466</v>
      </c>
    </row>
    <row r="5" ht="49.5" customHeight="1">
      <c r="A5" s="17" t="s">
        <v>48</v>
      </c>
      <c r="B5" s="18" t="s">
        <v>467</v>
      </c>
      <c r="C5" s="18" t="s">
        <v>468</v>
      </c>
      <c r="D5" s="18" t="s">
        <v>469</v>
      </c>
      <c r="E5" s="18" t="s">
        <v>470</v>
      </c>
      <c r="F5" s="23" t="s">
        <v>23</v>
      </c>
      <c r="G5" s="20" t="s">
        <v>42</v>
      </c>
      <c r="H5" s="18" t="s">
        <v>471</v>
      </c>
    </row>
    <row r="6" ht="49.5" customHeight="1">
      <c r="A6" s="17" t="s">
        <v>55</v>
      </c>
      <c r="B6" s="22" t="s">
        <v>472</v>
      </c>
      <c r="C6" s="22" t="s">
        <v>473</v>
      </c>
      <c r="D6" s="22" t="s">
        <v>474</v>
      </c>
      <c r="E6" s="22" t="s">
        <v>475</v>
      </c>
      <c r="F6" s="19" t="s">
        <v>21</v>
      </c>
      <c r="G6" s="24" t="s">
        <v>42</v>
      </c>
      <c r="H6" s="22" t="s">
        <v>476</v>
      </c>
    </row>
    <row r="7" ht="49.5" customHeight="1">
      <c r="A7" s="17" t="s">
        <v>62</v>
      </c>
      <c r="B7" s="18" t="s">
        <v>477</v>
      </c>
      <c r="C7" s="18" t="s">
        <v>478</v>
      </c>
      <c r="D7" s="18" t="s">
        <v>479</v>
      </c>
      <c r="E7" s="18" t="s">
        <v>480</v>
      </c>
      <c r="F7" s="29" t="s">
        <v>21</v>
      </c>
      <c r="G7" s="25" t="s">
        <v>54</v>
      </c>
    </row>
    <row r="8" ht="49.5" customHeight="1">
      <c r="A8" s="17" t="s">
        <v>67</v>
      </c>
      <c r="B8" s="22" t="s">
        <v>481</v>
      </c>
      <c r="C8" s="22" t="s">
        <v>482</v>
      </c>
      <c r="D8" s="22" t="s">
        <v>483</v>
      </c>
      <c r="E8" s="22" t="s">
        <v>484</v>
      </c>
      <c r="F8" s="23" t="s">
        <v>23</v>
      </c>
      <c r="G8" s="24" t="s">
        <v>42</v>
      </c>
      <c r="H8" s="22" t="s">
        <v>485</v>
      </c>
    </row>
    <row r="9" ht="49.5" customHeight="1">
      <c r="A9" s="17" t="s">
        <v>299</v>
      </c>
      <c r="B9" s="18" t="s">
        <v>486</v>
      </c>
      <c r="C9" s="18" t="s">
        <v>487</v>
      </c>
      <c r="D9" s="18" t="s">
        <v>488</v>
      </c>
      <c r="E9" s="18" t="s">
        <v>489</v>
      </c>
      <c r="F9" s="23" t="s">
        <v>23</v>
      </c>
      <c r="G9" s="25" t="s">
        <v>54</v>
      </c>
      <c r="H9" s="18" t="s">
        <v>490</v>
      </c>
    </row>
    <row r="10" ht="49.5" customHeight="1">
      <c r="A10" s="17" t="s">
        <v>80</v>
      </c>
      <c r="B10" s="22" t="s">
        <v>491</v>
      </c>
      <c r="C10" s="22" t="s">
        <v>492</v>
      </c>
      <c r="D10" s="22" t="s">
        <v>493</v>
      </c>
      <c r="E10" s="22" t="s">
        <v>494</v>
      </c>
      <c r="F10" s="19" t="s">
        <v>21</v>
      </c>
      <c r="G10" s="26" t="s">
        <v>54</v>
      </c>
      <c r="H10" s="22" t="s">
        <v>495</v>
      </c>
    </row>
    <row r="11" ht="49.5" customHeight="1">
      <c r="A11" s="17" t="s">
        <v>85</v>
      </c>
      <c r="B11" s="18" t="s">
        <v>496</v>
      </c>
      <c r="C11" s="18" t="s">
        <v>497</v>
      </c>
      <c r="D11" s="18" t="s">
        <v>498</v>
      </c>
      <c r="E11" s="18" t="s">
        <v>499</v>
      </c>
      <c r="F11" s="23" t="s">
        <v>23</v>
      </c>
      <c r="G11" s="27" t="s">
        <v>130</v>
      </c>
      <c r="H11" s="18" t="s">
        <v>500</v>
      </c>
    </row>
    <row r="12" ht="49.5" customHeight="1">
      <c r="A12" s="17" t="s">
        <v>92</v>
      </c>
      <c r="B12" s="22" t="s">
        <v>501</v>
      </c>
      <c r="C12" s="22" t="s">
        <v>502</v>
      </c>
      <c r="D12" s="22" t="s">
        <v>503</v>
      </c>
      <c r="E12" s="22" t="s">
        <v>504</v>
      </c>
      <c r="F12" s="29" t="s">
        <v>21</v>
      </c>
      <c r="G12" s="24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2"/>
  <mergeCells count="1">
    <mergeCell ref="A1:G1"/>
  </mergeCells>
  <printOptions/>
  <pageMargins bottom="1.0" footer="0.0" header="0.0" left="0.75" right="0.75" top="1.0"/>
  <pageSetup paperSize="9" orientation="portrait"/>
  <drawing r:id="rId1"/>
</worksheet>
</file>