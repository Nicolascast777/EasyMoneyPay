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UAN FERNANDO\Downloads\"/>
    </mc:Choice>
  </mc:AlternateContent>
  <xr:revisionPtr revIDLastSave="0" documentId="8_{A3A038A9-D582-4677-93CB-B6F0E72B33FB}" xr6:coauthVersionLast="47" xr6:coauthVersionMax="47" xr10:uidLastSave="{00000000-0000-0000-0000-000000000000}"/>
  <bookViews>
    <workbookView xWindow="-108" yWindow="-108" windowWidth="23256" windowHeight="12456" tabRatio="500" xr2:uid="{00000000-000D-0000-FFFF-FFFF00000000}"/>
  </bookViews>
  <sheets>
    <sheet name="Matriz de Verificación" sheetId="1" r:id="rId1"/>
    <sheet name="Leyenda y Guía" sheetId="2" r:id="rId2"/>
    <sheet name="Resumen Ejecutivo"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3" l="1"/>
  <c r="B7" i="3"/>
  <c r="B6" i="3"/>
  <c r="B5" i="3"/>
  <c r="B4" i="3"/>
  <c r="B3" i="3"/>
  <c r="C8" i="3" s="1"/>
  <c r="C4" i="3" l="1"/>
  <c r="C5" i="3"/>
  <c r="C6" i="3"/>
  <c r="C7" i="3"/>
</calcChain>
</file>

<file path=xl/sharedStrings.xml><?xml version="1.0" encoding="utf-8"?>
<sst xmlns="http://schemas.openxmlformats.org/spreadsheetml/2006/main" count="229" uniqueCount="166">
  <si>
    <t>MATRIZ DE VERIFICACIÓN DE REQUISITOS DE SOFTWARE</t>
  </si>
  <si>
    <t>Proyecto: Easy Money Pay</t>
  </si>
  <si>
    <t>Fecha: ___________</t>
  </si>
  <si>
    <t>ID
Requisito</t>
  </si>
  <si>
    <t>Descripción
del Requisito</t>
  </si>
  <si>
    <t>Requisito Funcional / No Funcional</t>
  </si>
  <si>
    <t>Criterios de
Aceptación</t>
  </si>
  <si>
    <t>Método de
Verificación</t>
  </si>
  <si>
    <t>Resultado
Esperado</t>
  </si>
  <si>
    <t>Resultado
Obtenido</t>
  </si>
  <si>
    <t>Estado</t>
  </si>
  <si>
    <t>HU001</t>
  </si>
  <si>
    <t>Como usuario consumidor quiero entrar al sistema para poder dividir el monto total de la cuenta entre n usuarios consumidores de la misma mesa</t>
  </si>
  <si>
    <t>Funcional</t>
  </si>
  <si>
    <t>El usuario puede ingresar al sistema y visualizar el monto total dividido entre los integrantes de la mesa.</t>
  </si>
  <si>
    <t>Prueba Funcional</t>
  </si>
  <si>
    <t>El sistema muestra el monto dividido correctamente entre los usuarios de la mesa.</t>
  </si>
  <si>
    <t>El sistema dividió correctamente el monto entre los usuarios de la mesa.</t>
  </si>
  <si>
    <t>Aprobado</t>
  </si>
  <si>
    <t>HU002</t>
  </si>
  <si>
    <t>Como usuario consumidor principal quiero poder ingresar un consumidor mas a la cuenta compartiendole un QR que saldra de mi pantalla.</t>
  </si>
  <si>
    <t>El usuario principal puede generar un código QR que al ser escaneado agrega a otro consumidor a la misma cuenta.</t>
  </si>
  <si>
    <t>Prueba de Integración</t>
  </si>
  <si>
    <t>El QR generado permite a otro usuario unirse a la mesa y el monto se redistribuye.</t>
  </si>
  <si>
    <t>El QR se generó y el nuevo usuario se unió a la cuenta sin inconvenientes.</t>
  </si>
  <si>
    <t>HU003</t>
  </si>
  <si>
    <t>Al ingrear a una misma mesa el sistema debe de ir diviendo el monto total de la cuenta según el numero n de usuarios pertenecientes a la misma orden</t>
  </si>
  <si>
    <t>Al unirse un nuevo usuario, el monto total se recalcula automáticamente y se divide entre todos los integrantes.</t>
  </si>
  <si>
    <t>El sistema redistribuye el monto en tiempo real conforme ingresan nuevos usuarios.</t>
  </si>
  <si>
    <t>El sistema divide el monto correctamente según el número de usuarios.</t>
  </si>
  <si>
    <t>HU004</t>
  </si>
  <si>
    <t>Como usuario consumidor quiero que cuando ya hago parte de un numero de cuenta y una mesa, dentro del sistema tenga la posibilidad de agregar un producto que yo haya pedido para consumir solo yo, por esta razón el precio de este producto no debe de estar incluido en el monto total.</t>
  </si>
  <si>
    <t>El usuario puede agregar productos individuales que se cobran solo a él, sin afectar el monto compartido.</t>
  </si>
  <si>
    <t>El producto individual se excluye del monto dividido y se cobra únicamente al usuario que lo agregó.</t>
  </si>
  <si>
    <t>El producto individual se incluyó en el monto total compartido.</t>
  </si>
  <si>
    <t>HU005</t>
  </si>
  <si>
    <t>Como usuario consumidor quiero seleccionar que metodo de pago utilizaré.</t>
  </si>
  <si>
    <t>El usuario visualiza y puede seleccionar entre los métodos de pago disponibles (efectivo, digital).</t>
  </si>
  <si>
    <t>El sistema despliega correctamente las opciones de pago y registra la selección del usuario.</t>
  </si>
  <si>
    <t>Los métodos de pago se desplegaron y la selección quedó registrada correctamente.</t>
  </si>
  <si>
    <t>HU006</t>
  </si>
  <si>
    <t>Como administrador quiero que el sistema me permita seleccionar entre los diferentes roles que exitan en el</t>
  </si>
  <si>
    <t>El administrador puede visualizar y seleccionar entre los roles disponibles en el sistema.</t>
  </si>
  <si>
    <t>El sistema muestra los roles existentes y permite cambiar el rol activo del administrador.</t>
  </si>
  <si>
    <t>El administrador visualizó y seleccionó roles sin problemas.</t>
  </si>
  <si>
    <t>HU007</t>
  </si>
  <si>
    <t>Como administrador quiero que en el sistema pueda revisar cuantos pagos se han realizado</t>
  </si>
  <si>
    <t>El administrador puede consultar el historial de pagos realizados con fecha, monto y usuario.</t>
  </si>
  <si>
    <t>El sistema muestra un listado completo y actualizado de todos los pagos efectuados.</t>
  </si>
  <si>
    <t>El historial de pagos se mostró completo y actualizado.</t>
  </si>
  <si>
    <t>HU008</t>
  </si>
  <si>
    <t>Como cajero quiero poder verificar en tiempo real que el usuario ya realizo el pago.</t>
  </si>
  <si>
    <t>El cajero puede ver en tiempo real el estado de pago de cada usuario de la mesa.</t>
  </si>
  <si>
    <t>La pantalla del cajero se actualiza automáticamente al confirmarse un pago.</t>
  </si>
  <si>
    <t>La pantalla del cajero reflejó el pago en tiempo real.</t>
  </si>
  <si>
    <t>HU009</t>
  </si>
  <si>
    <t>Como usuario consumidor quiero pagar por efectivo, por lo que me acercare a la caja y efectuare el pago</t>
  </si>
  <si>
    <t>El flujo de pago en efectivo está habilitado y guía al usuario a dirigirse a caja.</t>
  </si>
  <si>
    <t>El sistema indica al usuario que se acerque a caja y queda en espera de confirmación.</t>
  </si>
  <si>
    <t>El sistema indicó al usuario dirigirse a caja y quedó en espera exitosamente.</t>
  </si>
  <si>
    <t>HU010</t>
  </si>
  <si>
    <t>Como cajero quiero ingresar que el usuario n de una mesa realizo el pago por efectivo.</t>
  </si>
  <si>
    <t>El cajero puede registrar manualmente que un usuario específico de una mesa realizó su pago en efectivo.</t>
  </si>
  <si>
    <t>El sistema actualiza el estado del usuario a pagado y notifica al resto de la mesa.</t>
  </si>
  <si>
    <t>El cajero registró el pago en efectivo y el estado del usuario se actualizó.</t>
  </si>
  <si>
    <t>HU011</t>
  </si>
  <si>
    <t>Como Usuario quiero que se me verifique que ya realice el pago.</t>
  </si>
  <si>
    <t>El sistema muestra una confirmación visual o notificación al usuario una vez que su pago es verificado.</t>
  </si>
  <si>
    <t>Prueba de Validación</t>
  </si>
  <si>
    <t>El usuario recibe una confirmación clara de que su pago fue procesado exitosamente.</t>
  </si>
  <si>
    <t>El usuario recibió la confirmación de pago de forma clara.</t>
  </si>
  <si>
    <t>HU012</t>
  </si>
  <si>
    <t>Como usuario quiero que me llegue un ticket al correo con el resumen de mi compra en general.</t>
  </si>
  <si>
    <t>El sistema envía automáticamente un ticket al correo registrado del usuario con el detalle de su compra.</t>
  </si>
  <si>
    <t>El correo llega al usuario con el resumen correcto de los productos y el monto pagado.</t>
  </si>
  <si>
    <t>El ticket llegó al correo del usuario con el detalle correcto.</t>
  </si>
  <si>
    <t>HU013</t>
  </si>
  <si>
    <t>Como usuario consumidor quiero ingresar manualmente mi numero de orden impreso en el recibo fisico para validar que estoy en mi cuenta correcta</t>
  </si>
  <si>
    <t>El usuario puede ingresar manualmente el número de orden del recibo físico y el sistema valida que corresponde a su cuenta.</t>
  </si>
  <si>
    <t>El sistema vincula al usuario con su cuenta correcta al ingresar el número de orden válido.</t>
  </si>
  <si>
    <t>El número de orden validó la cuenta del usuario correctamente.</t>
  </si>
  <si>
    <t>HU014</t>
  </si>
  <si>
    <t>Como usuario consumidor quiero ver los productos que pedimos para saber exactamente que estoy pagando</t>
  </si>
  <si>
    <t>El usuario puede visualizar el listado detallado de los productos que conforman su cuenta.</t>
  </si>
  <si>
    <t>El sistema muestra todos los productos pedidos con nombre, cantidad y precio.</t>
  </si>
  <si>
    <t>Los productos de la cuenta se listaron con nombre, cantidad y precio.</t>
  </si>
  <si>
    <t>HU015</t>
  </si>
  <si>
    <t>Como usuario consumidor quiero conectarme al sistema de comandas del restaurante para que mi informacion de pedidos este disponible automaticamente</t>
  </si>
  <si>
    <t>El sistema se integra con el sistema de comandas del restaurante y carga automáticamente los pedidos del usuario.</t>
  </si>
  <si>
    <t>Los datos de pedidos se sincronizan en tiempo real desde el sistema de comandas al sistema de pagos.</t>
  </si>
  <si>
    <t>Los pedidos se sincronizaron automáticamente desde el sistema de comandas.</t>
  </si>
  <si>
    <t>HU016</t>
  </si>
  <si>
    <t>Como usuario consumidor quiero poder asumir el 100% del pago de un producto específico para cubrir el gasto de otro integrante de la mesa</t>
  </si>
  <si>
    <t>El usuario puede seleccionar un producto específico y asumir el 100% de su costo, quitándolo del monto compartido.</t>
  </si>
  <si>
    <t>El producto queda asignado al usuario y el monto restante se redistribuye entre los demás.</t>
  </si>
  <si>
    <t>El producto quedó asignado al usuario y el monto restante se redistribuyó.</t>
  </si>
  <si>
    <t>HU017</t>
  </si>
  <si>
    <t>Como usuario consumidor quiero ser redirigido a una pasarela de pagos para poder cancelar mi parte de la cuenta de forma digital</t>
  </si>
  <si>
    <t>El sistema redirige al usuario a una pasarela de pago segura donde puede completar su transacción digital.</t>
  </si>
  <si>
    <t>El usuario es redirigido correctamente a la pasarela y el pago se registra en el sistema.</t>
  </si>
  <si>
    <t>El usuario fue redirigido a la pasarela y el pago quedó registrado.</t>
  </si>
  <si>
    <t>HU018</t>
  </si>
  <si>
    <t>Como cajero quiero recibir una confirmación automática cuando todos los usuarios de la mesa hayan pagado para poder cerrar la mesa formalmente</t>
  </si>
  <si>
    <t>El cajero recibe una alerta automática cuando todos los usuarios de la mesa han completado su pago.</t>
  </si>
  <si>
    <t>El sistema notifica al cajero en tiempo real y habilita la opción de cierre de mesa.</t>
  </si>
  <si>
    <t>El cajero recibió la alerta de cierre de mesa al completarse todos los pagos.</t>
  </si>
  <si>
    <t>HU019</t>
  </si>
  <si>
    <t>Como usuario consumidor quiero que el sistema sea compatible con mi celular Android o iPhone para poder usarlo sin problemas</t>
  </si>
  <si>
    <t>No Funcional</t>
  </si>
  <si>
    <t>La aplicación funciona correctamente en dispositivos Android e iOS con los navegadores principales.</t>
  </si>
  <si>
    <t>La app se visualiza y opera sin errores en al menos Android 10+ e iOS 14+.</t>
  </si>
  <si>
    <t>La app funcionó correctamente en Android e iOS sin errores.</t>
  </si>
  <si>
    <t>HU020</t>
  </si>
  <si>
    <t>Como usuario consumidor quiero que la información de mi cuenta cargue rápidamente para no generar esperas en el restaurante</t>
  </si>
  <si>
    <t>El tiempo de carga de la información de la cuenta no supera los 3 segundos en condiciones normales de red.</t>
  </si>
  <si>
    <t>Prueba de Rendimiento</t>
  </si>
  <si>
    <t>Los datos del usuario y la mesa cargan en menos de 3 segundos.</t>
  </si>
  <si>
    <t>La información de la cuenta cargó en menos de 3 segundos.</t>
  </si>
  <si>
    <t>HU021</t>
  </si>
  <si>
    <t>Como dueño del restaurante quiero que el sistema sea estable y sin errores durante su uso para no interrumpir la operación del negocio</t>
  </si>
  <si>
    <t>El sistema mantiene una disponibilidad del 99% y no presenta caídas durante el horario de operación del restaurante.</t>
  </si>
  <si>
    <t>El sistema opera de forma continua sin interrupciones durante una jornada completa de prueba.</t>
  </si>
  <si>
    <t>El sistema operó sin interrupciones durante toda la jornada de prueba.</t>
  </si>
  <si>
    <t>HU022</t>
  </si>
  <si>
    <t>Como usuario consumidor quiero que mis datos de pago estén protegidos para realizar transacciones con confianza</t>
  </si>
  <si>
    <t>Los datos de pago están cifrados en tránsito (HTTPS/TLS) y el sistema cumple estándares básicos de seguridad.</t>
  </si>
  <si>
    <t>Revisión de Código</t>
  </si>
  <si>
    <t>Las transacciones usan protocolo seguro y no se exponen datos sensibles del usuario.</t>
  </si>
  <si>
    <t>Las transacciones se realizaron bajo HTTPS sin exponer datos sensibles.</t>
  </si>
  <si>
    <t>LEYENDA Y GUÍA DE USO</t>
  </si>
  <si>
    <t>ESTADOS</t>
  </si>
  <si>
    <t>🟡 Pendiente</t>
  </si>
  <si>
    <t>El caso de prueba no ha sido ejecutado aún.</t>
  </si>
  <si>
    <t>🟢 Aprobado</t>
  </si>
  <si>
    <t>El requisito cumple todos los criterios de aceptación.</t>
  </si>
  <si>
    <t>🔴 Fallido</t>
  </si>
  <si>
    <t>El resultado obtenido no coincide con el esperado.</t>
  </si>
  <si>
    <t>🔵 En Progreso</t>
  </si>
  <si>
    <t>El caso de prueba se está ejecutando actualmente.</t>
  </si>
  <si>
    <t>⚫ Bloqueado</t>
  </si>
  <si>
    <t>No se puede ejecutar por una dependencia externa.</t>
  </si>
  <si>
    <t>MÉTODOS DE VERIFICACIÓN</t>
  </si>
  <si>
    <t>Valida que el sistema realiza las funciones requeridas.</t>
  </si>
  <si>
    <t>Verifica la interacción entre módulos o servicios externos.</t>
  </si>
  <si>
    <t>Mide tiempos de respuesta, carga y estabilidad del sistema.</t>
  </si>
  <si>
    <t>Confirma que las reglas de negocio se aplican correctamente.</t>
  </si>
  <si>
    <t>Inspección estática del código fuente por pares.</t>
  </si>
  <si>
    <t>Inspección</t>
  </si>
  <si>
    <t>Revisión manual de documentos, diseños o artefactos.</t>
  </si>
  <si>
    <t>Demo</t>
  </si>
  <si>
    <t>Demostración funcional ante el cliente o stakeholder.</t>
  </si>
  <si>
    <t>CONVENCIONES DE ID</t>
  </si>
  <si>
    <t>REQ-XXX</t>
  </si>
  <si>
    <t>Identificador único del requisito (ej. REQ-001, REQ-002…).</t>
  </si>
  <si>
    <t>TC-XXX</t>
  </si>
  <si>
    <t>Identificador del caso de prueba asociado al requisito.</t>
  </si>
  <si>
    <t>RESUMEN EJECUTIVO DE COBERTURA</t>
  </si>
  <si>
    <t>Indicador</t>
  </si>
  <si>
    <t>Cantidad</t>
  </si>
  <si>
    <t>Porcentaje</t>
  </si>
  <si>
    <t>Total de Requisitos</t>
  </si>
  <si>
    <t>Aprobados</t>
  </si>
  <si>
    <t>Fallidos</t>
  </si>
  <si>
    <t>Pendientes</t>
  </si>
  <si>
    <t>En Progreso</t>
  </si>
  <si>
    <t>Bloqueados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</si>
</sst>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4"/>
      <color rgb="FFFFFFFF"/>
      <name val="Arial"/>
      <family val="2"/>
    </font>
    <font>
      <i/>
      <sz val="9"/>
      <color rgb="FF1F3864"/>
      <name val="Arial"/>
      <family val="2"/>
    </font>
    <font>
      <b/>
      <sz val="10"/>
      <color rgb="FFFFFFFF"/>
      <name val="Arial"/>
      <family val="2"/>
    </font>
    <font>
      <sz val="9"/>
      <name val="Arial"/>
      <family val="2"/>
    </font>
    <font>
      <b/>
      <sz val="9"/>
      <name val="Arial"/>
      <family val="2"/>
    </font>
    <font>
      <b/>
      <sz val="13"/>
      <color rgb="FFFFFFFF"/>
      <name val="Arial"/>
      <family val="2"/>
    </font>
    <font>
      <b/>
      <sz val="10"/>
      <name val="Arial"/>
      <family val="2"/>
    </font>
    <font>
      <sz val="10"/>
      <name val="Arial"/>
      <family val="2"/>
    </font>
    <font>
      <sz val="11"/>
      <color rgb="FF002060"/>
      <name val="Aptos Narrow"/>
      <family val="2"/>
    </font>
    <font>
      <sz val="9"/>
      <color theme="1"/>
      <name val="Arial"/>
      <family val="2"/>
    </font>
    <font>
      <sz val="9"/>
      <color theme="1"/>
      <name val="Aptos Narrow"/>
      <family val="2"/>
    </font>
    <font>
      <sz val="9"/>
      <color theme="1"/>
      <name val="Calibri"/>
      <family val="2"/>
      <charset val="1"/>
    </font>
  </fonts>
  <fills count="16">
    <fill>
      <patternFill patternType="none"/>
    </fill>
    <fill>
      <patternFill patternType="gray125"/>
    </fill>
    <fill>
      <patternFill patternType="solid">
        <fgColor rgb="FF1F3864"/>
        <bgColor rgb="FF333333"/>
      </patternFill>
    </fill>
    <fill>
      <patternFill patternType="solid">
        <fgColor rgb="FFD6E4F0"/>
        <bgColor rgb="FFDCE6F1"/>
      </patternFill>
    </fill>
    <fill>
      <patternFill patternType="solid">
        <fgColor rgb="FFDCE6F1"/>
        <bgColor rgb="FFD6E4F0"/>
      </patternFill>
    </fill>
    <fill>
      <patternFill patternType="solid">
        <fgColor rgb="FFFFEB9C"/>
        <bgColor rgb="FFFFFFCC"/>
      </patternFill>
    </fill>
    <fill>
      <patternFill patternType="solid">
        <fgColor rgb="FFFFFFFF"/>
        <bgColor rgb="FFFFFFCC"/>
      </patternFill>
    </fill>
    <fill>
      <patternFill patternType="solid">
        <fgColor rgb="FFC6EFCE"/>
        <bgColor rgb="FFD6E4F0"/>
      </patternFill>
    </fill>
    <fill>
      <patternFill patternType="solid">
        <fgColor rgb="FFFFC7CE"/>
        <bgColor rgb="FFD9D9D9"/>
      </patternFill>
    </fill>
    <fill>
      <patternFill patternType="solid">
        <fgColor rgb="FF2E75B6"/>
        <bgColor rgb="FF0066CC"/>
      </patternFill>
    </fill>
    <fill>
      <patternFill patternType="solid">
        <fgColor rgb="FFBDD7EE"/>
        <bgColor rgb="FFD9D9D9"/>
      </patternFill>
    </fill>
    <fill>
      <patternFill patternType="solid">
        <fgColor rgb="FFD9D9D9"/>
        <bgColor rgb="FFD6E4F0"/>
      </patternFill>
    </fill>
    <fill>
      <patternFill patternType="solid">
        <fgColor rgb="FF00B050"/>
        <bgColor rgb="FFFFFFCC"/>
      </patternFill>
    </fill>
    <fill>
      <patternFill patternType="solid">
        <fgColor rgb="FF00B050"/>
        <bgColor indexed="64"/>
      </patternFill>
    </fill>
    <fill>
      <patternFill patternType="solid">
        <fgColor rgb="FF00B050"/>
        <bgColor rgb="FFD6E4F0"/>
      </patternFill>
    </fill>
    <fill>
      <patternFill patternType="solid">
        <fgColor rgb="FF00B050"/>
        <bgColor rgb="FFD9D9D9"/>
      </patternFill>
    </fill>
  </fills>
  <borders count="5">
    <border>
      <left/>
      <right/>
      <top/>
      <bottom/>
      <diagonal/>
    </border>
    <border>
      <left style="thin">
        <color rgb="FFAAAAAA"/>
      </left>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medium">
        <color rgb="FFCCCCCC"/>
      </left>
      <right style="medium">
        <color rgb="FFCCCCCC"/>
      </right>
      <top style="medium">
        <color rgb="FFCCCCCC"/>
      </top>
      <bottom style="medium">
        <color rgb="FFCCCCCC"/>
      </bottom>
      <diagonal/>
    </border>
    <border>
      <left/>
      <right/>
      <top style="thin">
        <color rgb="FFAAAAAA"/>
      </top>
      <bottom style="thin">
        <color rgb="FFAAAAAA"/>
      </bottom>
      <diagonal/>
    </border>
  </borders>
  <cellStyleXfs count="1">
    <xf numFmtId="0" fontId="0" fillId="0" borderId="0"/>
  </cellStyleXfs>
  <cellXfs count="36">
    <xf numFmtId="0" fontId="0" fillId="0" borderId="0" xfId="0"/>
    <xf numFmtId="0" fontId="3" fillId="2" borderId="2" xfId="0" applyFont="1" applyFill="1" applyBorder="1" applyAlignment="1">
      <alignment horizontal="center" vertical="center" wrapText="1"/>
    </xf>
    <xf numFmtId="0" fontId="5" fillId="6" borderId="2" xfId="0" applyFont="1" applyFill="1" applyBorder="1" applyAlignment="1">
      <alignment vertical="center" wrapText="1"/>
    </xf>
    <xf numFmtId="0" fontId="4" fillId="6" borderId="2" xfId="0" applyFont="1" applyFill="1" applyBorder="1" applyAlignment="1">
      <alignment vertical="center" wrapText="1"/>
    </xf>
    <xf numFmtId="0" fontId="5" fillId="4" borderId="2" xfId="0" applyFont="1" applyFill="1" applyBorder="1" applyAlignment="1">
      <alignment vertical="center" wrapText="1"/>
    </xf>
    <xf numFmtId="0" fontId="4" fillId="4" borderId="2" xfId="0" applyFont="1" applyFill="1" applyBorder="1" applyAlignment="1">
      <alignment vertical="center" wrapText="1"/>
    </xf>
    <xf numFmtId="0" fontId="3" fillId="9" borderId="2" xfId="0" applyFont="1" applyFill="1" applyBorder="1" applyAlignment="1">
      <alignment horizontal="center" vertical="center" wrapText="1"/>
    </xf>
    <xf numFmtId="0" fontId="7" fillId="6" borderId="2" xfId="0" applyFont="1" applyFill="1" applyBorder="1" applyAlignment="1">
      <alignment horizontal="left" vertical="center"/>
    </xf>
    <xf numFmtId="0" fontId="8" fillId="6" borderId="2" xfId="0" applyFont="1" applyFill="1" applyBorder="1" applyAlignment="1">
      <alignment horizontal="center" vertical="center"/>
    </xf>
    <xf numFmtId="0" fontId="7" fillId="7" borderId="2" xfId="0" applyFont="1" applyFill="1" applyBorder="1" applyAlignment="1">
      <alignment horizontal="left" vertical="center"/>
    </xf>
    <xf numFmtId="0" fontId="8" fillId="7" borderId="2" xfId="0" applyFont="1" applyFill="1" applyBorder="1" applyAlignment="1">
      <alignment horizontal="center" vertical="center"/>
    </xf>
    <xf numFmtId="0" fontId="7" fillId="8" borderId="2" xfId="0" applyFont="1" applyFill="1" applyBorder="1" applyAlignment="1">
      <alignment horizontal="left" vertical="center"/>
    </xf>
    <xf numFmtId="0" fontId="8" fillId="8" borderId="2" xfId="0" applyFont="1" applyFill="1" applyBorder="1" applyAlignment="1">
      <alignment horizontal="center" vertical="center"/>
    </xf>
    <xf numFmtId="0" fontId="7" fillId="5" borderId="2" xfId="0" applyFont="1" applyFill="1" applyBorder="1" applyAlignment="1">
      <alignment horizontal="left" vertical="center"/>
    </xf>
    <xf numFmtId="0" fontId="8" fillId="5" borderId="2" xfId="0" applyFont="1" applyFill="1" applyBorder="1" applyAlignment="1">
      <alignment horizontal="center" vertical="center"/>
    </xf>
    <xf numFmtId="0" fontId="7" fillId="10" borderId="2" xfId="0" applyFont="1" applyFill="1" applyBorder="1" applyAlignment="1">
      <alignment horizontal="left" vertical="center"/>
    </xf>
    <xf numFmtId="0" fontId="8" fillId="10" borderId="2" xfId="0" applyFont="1" applyFill="1" applyBorder="1" applyAlignment="1">
      <alignment horizontal="center" vertical="center"/>
    </xf>
    <xf numFmtId="0" fontId="7" fillId="11" borderId="2" xfId="0" applyFont="1" applyFill="1" applyBorder="1" applyAlignment="1">
      <alignment horizontal="left" vertical="center"/>
    </xf>
    <xf numFmtId="0" fontId="8" fillId="11" borderId="2" xfId="0" applyFont="1" applyFill="1" applyBorder="1" applyAlignment="1">
      <alignment horizontal="center" vertical="center"/>
    </xf>
    <xf numFmtId="0" fontId="9" fillId="0" borderId="3" xfId="0" applyFont="1" applyBorder="1" applyAlignment="1">
      <alignment vertical="top" wrapText="1"/>
    </xf>
    <xf numFmtId="0" fontId="4" fillId="4" borderId="2" xfId="0" applyFont="1" applyFill="1" applyBorder="1" applyAlignment="1">
      <alignment vertical="top" wrapText="1"/>
    </xf>
    <xf numFmtId="0" fontId="4" fillId="6" borderId="2" xfId="0" applyFont="1" applyFill="1" applyBorder="1" applyAlignment="1">
      <alignment vertical="top" wrapText="1"/>
    </xf>
    <xf numFmtId="0" fontId="2" fillId="3" borderId="1" xfId="0" applyFont="1" applyFill="1" applyBorder="1" applyAlignment="1">
      <alignment horizontal="left" vertical="center"/>
    </xf>
    <xf numFmtId="0" fontId="0" fillId="0" borderId="4" xfId="0" applyBorder="1"/>
    <xf numFmtId="0" fontId="1" fillId="2" borderId="0" xfId="0" applyFont="1" applyFill="1" applyAlignment="1">
      <alignment horizontal="center" vertical="center"/>
    </xf>
    <xf numFmtId="0" fontId="0" fillId="0" borderId="0" xfId="0"/>
    <xf numFmtId="0" fontId="3" fillId="9" borderId="1" xfId="0" applyFont="1" applyFill="1" applyBorder="1" applyAlignment="1">
      <alignment horizontal="left" vertical="center"/>
    </xf>
    <xf numFmtId="0" fontId="6" fillId="2" borderId="0" xfId="0" applyFont="1" applyFill="1" applyAlignment="1">
      <alignment horizontal="center" vertical="center"/>
    </xf>
    <xf numFmtId="0" fontId="4" fillId="12" borderId="2" xfId="0" applyFont="1" applyFill="1" applyBorder="1" applyAlignment="1">
      <alignment vertical="top" wrapText="1"/>
    </xf>
    <xf numFmtId="0" fontId="10" fillId="0" borderId="3" xfId="0" applyFont="1" applyBorder="1" applyAlignment="1">
      <alignment vertical="top" wrapText="1"/>
    </xf>
    <xf numFmtId="0" fontId="11" fillId="0" borderId="3" xfId="0" applyFont="1" applyBorder="1" applyAlignment="1">
      <alignment vertical="top" wrapText="1"/>
    </xf>
    <xf numFmtId="0" fontId="12" fillId="0" borderId="0" xfId="0" applyFont="1" applyAlignment="1">
      <alignment vertical="top" wrapText="1"/>
    </xf>
    <xf numFmtId="0" fontId="12" fillId="13" borderId="0" xfId="0" applyFont="1" applyFill="1" applyAlignment="1">
      <alignment vertical="top" wrapText="1"/>
    </xf>
    <xf numFmtId="0" fontId="5" fillId="12" borderId="2" xfId="0" applyFont="1" applyFill="1" applyBorder="1" applyAlignment="1">
      <alignment vertical="top" wrapText="1"/>
    </xf>
    <xf numFmtId="0" fontId="5" fillId="14" borderId="2" xfId="0" applyFont="1" applyFill="1" applyBorder="1" applyAlignment="1">
      <alignment vertical="top" wrapText="1"/>
    </xf>
    <xf numFmtId="0" fontId="5" fillId="15" borderId="2"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FCC"/>
      <rgbColor rgb="FFDCE6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6E4F0"/>
      <rgbColor rgb="FFC6EFCE"/>
      <rgbColor rgb="FFFFEB9C"/>
      <rgbColor rgb="FF99CCFF"/>
      <rgbColor rgb="FFFF99CC"/>
      <rgbColor rgb="FFCC99FF"/>
      <rgbColor rgb="FFFFC7CE"/>
      <rgbColor rgb="FF2E75B6"/>
      <rgbColor rgb="FF33CCCC"/>
      <rgbColor rgb="FF99CC00"/>
      <rgbColor rgb="FFFFCC00"/>
      <rgbColor rgb="FFFF9900"/>
      <rgbColor rgb="FFFF6600"/>
      <rgbColor rgb="FF666699"/>
      <rgbColor rgb="FFAAAAAA"/>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zoomScale="70" zoomScaleNormal="70" workbookViewId="0">
      <pane ySplit="3" topLeftCell="A4" activePane="bottomLeft" state="frozen"/>
      <selection pane="bottomLeft" activeCell="J5" sqref="J5"/>
    </sheetView>
  </sheetViews>
  <sheetFormatPr baseColWidth="10" defaultColWidth="8.6640625" defaultRowHeight="14.4" x14ac:dyDescent="0.3"/>
  <cols>
    <col min="1" max="1" width="12" customWidth="1"/>
    <col min="2" max="2" width="55" customWidth="1"/>
    <col min="3" max="3" width="18" customWidth="1"/>
    <col min="4" max="4" width="30" customWidth="1"/>
    <col min="5" max="5" width="20" customWidth="1"/>
    <col min="6" max="7" width="28" customWidth="1"/>
    <col min="8" max="8" width="12" customWidth="1"/>
  </cols>
  <sheetData>
    <row r="1" spans="1:8" ht="35.549999999999997" customHeight="1" x14ac:dyDescent="0.3">
      <c r="A1" s="24" t="s">
        <v>0</v>
      </c>
      <c r="B1" s="25"/>
      <c r="C1" s="25"/>
      <c r="D1" s="25"/>
      <c r="E1" s="25"/>
      <c r="F1" s="25"/>
      <c r="G1" s="25"/>
      <c r="H1" s="25"/>
    </row>
    <row r="2" spans="1:8" ht="18" customHeight="1" x14ac:dyDescent="0.3">
      <c r="A2" s="22" t="s">
        <v>1</v>
      </c>
      <c r="B2" s="23"/>
      <c r="C2" s="23"/>
      <c r="D2" s="23"/>
      <c r="E2" s="22"/>
      <c r="F2" s="23"/>
      <c r="G2" s="22" t="s">
        <v>2</v>
      </c>
      <c r="H2" s="23"/>
    </row>
    <row r="3" spans="1:8" ht="27.45" customHeight="1" thickBot="1" x14ac:dyDescent="0.35">
      <c r="A3" s="1" t="s">
        <v>3</v>
      </c>
      <c r="B3" s="1" t="s">
        <v>4</v>
      </c>
      <c r="C3" s="1" t="s">
        <v>5</v>
      </c>
      <c r="D3" s="1" t="s">
        <v>6</v>
      </c>
      <c r="E3" s="1" t="s">
        <v>7</v>
      </c>
      <c r="F3" s="1" t="s">
        <v>8</v>
      </c>
      <c r="G3" s="1" t="s">
        <v>9</v>
      </c>
      <c r="H3" s="1" t="s">
        <v>10</v>
      </c>
    </row>
    <row r="4" spans="1:8" ht="49.95" customHeight="1" thickBot="1" x14ac:dyDescent="0.35">
      <c r="A4" s="19" t="s">
        <v>11</v>
      </c>
      <c r="B4" s="29" t="s">
        <v>12</v>
      </c>
      <c r="C4" s="20" t="s">
        <v>13</v>
      </c>
      <c r="D4" s="20" t="s">
        <v>14</v>
      </c>
      <c r="E4" s="20" t="s">
        <v>15</v>
      </c>
      <c r="F4" s="20" t="s">
        <v>16</v>
      </c>
      <c r="G4" s="20" t="s">
        <v>17</v>
      </c>
      <c r="H4" s="33" t="s">
        <v>18</v>
      </c>
    </row>
    <row r="5" spans="1:8" ht="49.95" customHeight="1" thickBot="1" x14ac:dyDescent="0.35">
      <c r="A5" s="19" t="s">
        <v>19</v>
      </c>
      <c r="B5" s="29" t="s">
        <v>20</v>
      </c>
      <c r="C5" s="21" t="s">
        <v>13</v>
      </c>
      <c r="D5" s="21" t="s">
        <v>21</v>
      </c>
      <c r="E5" s="21" t="s">
        <v>22</v>
      </c>
      <c r="F5" s="21" t="s">
        <v>23</v>
      </c>
      <c r="G5" s="21" t="s">
        <v>24</v>
      </c>
      <c r="H5" s="33" t="s">
        <v>18</v>
      </c>
    </row>
    <row r="6" spans="1:8" ht="49.95" customHeight="1" thickBot="1" x14ac:dyDescent="0.35">
      <c r="A6" s="19" t="s">
        <v>25</v>
      </c>
      <c r="B6" s="29" t="s">
        <v>26</v>
      </c>
      <c r="C6" s="20" t="s">
        <v>13</v>
      </c>
      <c r="D6" s="20" t="s">
        <v>27</v>
      </c>
      <c r="E6" s="20" t="s">
        <v>15</v>
      </c>
      <c r="F6" s="20" t="s">
        <v>28</v>
      </c>
      <c r="G6" s="20" t="s">
        <v>29</v>
      </c>
      <c r="H6" s="34" t="s">
        <v>18</v>
      </c>
    </row>
    <row r="7" spans="1:8" ht="94.95" customHeight="1" thickBot="1" x14ac:dyDescent="0.35">
      <c r="A7" s="19" t="s">
        <v>30</v>
      </c>
      <c r="B7" s="30" t="s">
        <v>31</v>
      </c>
      <c r="C7" s="21" t="s">
        <v>13</v>
      </c>
      <c r="D7" s="21" t="s">
        <v>32</v>
      </c>
      <c r="E7" s="21" t="s">
        <v>15</v>
      </c>
      <c r="F7" s="21" t="s">
        <v>33</v>
      </c>
      <c r="G7" s="21" t="s">
        <v>34</v>
      </c>
      <c r="H7" s="35" t="s">
        <v>18</v>
      </c>
    </row>
    <row r="8" spans="1:8" ht="34.950000000000003" customHeight="1" thickBot="1" x14ac:dyDescent="0.35">
      <c r="A8" s="19" t="s">
        <v>35</v>
      </c>
      <c r="B8" s="29" t="s">
        <v>36</v>
      </c>
      <c r="C8" s="20" t="s">
        <v>13</v>
      </c>
      <c r="D8" s="20" t="s">
        <v>37</v>
      </c>
      <c r="E8" s="20" t="s">
        <v>15</v>
      </c>
      <c r="F8" s="20" t="s">
        <v>38</v>
      </c>
      <c r="G8" s="20" t="s">
        <v>39</v>
      </c>
      <c r="H8" s="33" t="s">
        <v>18</v>
      </c>
    </row>
    <row r="9" spans="1:8" ht="49.95" customHeight="1" thickBot="1" x14ac:dyDescent="0.35">
      <c r="A9" s="19" t="s">
        <v>40</v>
      </c>
      <c r="B9" s="30" t="s">
        <v>41</v>
      </c>
      <c r="C9" s="21" t="s">
        <v>13</v>
      </c>
      <c r="D9" s="21" t="s">
        <v>42</v>
      </c>
      <c r="E9" s="21" t="s">
        <v>15</v>
      </c>
      <c r="F9" s="21" t="s">
        <v>43</v>
      </c>
      <c r="G9" s="21" t="s">
        <v>44</v>
      </c>
      <c r="H9" s="28" t="s">
        <v>18</v>
      </c>
    </row>
    <row r="10" spans="1:8" ht="34.950000000000003" customHeight="1" thickBot="1" x14ac:dyDescent="0.35">
      <c r="A10" s="19" t="s">
        <v>45</v>
      </c>
      <c r="B10" s="30" t="s">
        <v>46</v>
      </c>
      <c r="C10" s="20" t="s">
        <v>13</v>
      </c>
      <c r="D10" s="20" t="s">
        <v>47</v>
      </c>
      <c r="E10" s="20" t="s">
        <v>15</v>
      </c>
      <c r="F10" s="20" t="s">
        <v>48</v>
      </c>
      <c r="G10" s="20" t="s">
        <v>49</v>
      </c>
      <c r="H10" s="28" t="s">
        <v>18</v>
      </c>
    </row>
    <row r="11" spans="1:8" ht="34.950000000000003" customHeight="1" thickBot="1" x14ac:dyDescent="0.35">
      <c r="A11" s="19" t="s">
        <v>50</v>
      </c>
      <c r="B11" s="29" t="s">
        <v>51</v>
      </c>
      <c r="C11" s="21" t="s">
        <v>13</v>
      </c>
      <c r="D11" s="21" t="s">
        <v>52</v>
      </c>
      <c r="E11" s="21" t="s">
        <v>22</v>
      </c>
      <c r="F11" s="21" t="s">
        <v>53</v>
      </c>
      <c r="G11" s="21" t="s">
        <v>54</v>
      </c>
      <c r="H11" s="28" t="s">
        <v>18</v>
      </c>
    </row>
    <row r="12" spans="1:8" ht="34.950000000000003" customHeight="1" thickBot="1" x14ac:dyDescent="0.35">
      <c r="A12" s="19" t="s">
        <v>55</v>
      </c>
      <c r="B12" s="29" t="s">
        <v>56</v>
      </c>
      <c r="C12" s="20" t="s">
        <v>13</v>
      </c>
      <c r="D12" s="20" t="s">
        <v>57</v>
      </c>
      <c r="E12" s="20" t="s">
        <v>15</v>
      </c>
      <c r="F12" s="20" t="s">
        <v>58</v>
      </c>
      <c r="G12" s="20" t="s">
        <v>59</v>
      </c>
      <c r="H12" s="28" t="s">
        <v>18</v>
      </c>
    </row>
    <row r="13" spans="1:8" ht="34.950000000000003" customHeight="1" thickBot="1" x14ac:dyDescent="0.35">
      <c r="A13" s="19" t="s">
        <v>60</v>
      </c>
      <c r="B13" s="29" t="s">
        <v>61</v>
      </c>
      <c r="C13" s="21" t="s">
        <v>13</v>
      </c>
      <c r="D13" s="21" t="s">
        <v>62</v>
      </c>
      <c r="E13" s="21" t="s">
        <v>15</v>
      </c>
      <c r="F13" s="21" t="s">
        <v>63</v>
      </c>
      <c r="G13" s="21" t="s">
        <v>64</v>
      </c>
      <c r="H13" s="28" t="s">
        <v>18</v>
      </c>
    </row>
    <row r="14" spans="1:8" ht="34.950000000000003" customHeight="1" thickBot="1" x14ac:dyDescent="0.35">
      <c r="A14" s="19" t="s">
        <v>65</v>
      </c>
      <c r="B14" s="29" t="s">
        <v>66</v>
      </c>
      <c r="C14" s="20" t="s">
        <v>13</v>
      </c>
      <c r="D14" s="20" t="s">
        <v>67</v>
      </c>
      <c r="E14" s="20" t="s">
        <v>68</v>
      </c>
      <c r="F14" s="20" t="s">
        <v>69</v>
      </c>
      <c r="G14" s="20" t="s">
        <v>70</v>
      </c>
      <c r="H14" s="28" t="s">
        <v>18</v>
      </c>
    </row>
    <row r="15" spans="1:8" ht="34.950000000000003" customHeight="1" thickBot="1" x14ac:dyDescent="0.35">
      <c r="A15" s="19" t="s">
        <v>71</v>
      </c>
      <c r="B15" s="29" t="s">
        <v>72</v>
      </c>
      <c r="C15" s="21" t="s">
        <v>13</v>
      </c>
      <c r="D15" s="21" t="s">
        <v>73</v>
      </c>
      <c r="E15" s="21" t="s">
        <v>22</v>
      </c>
      <c r="F15" s="21" t="s">
        <v>74</v>
      </c>
      <c r="G15" s="21" t="s">
        <v>75</v>
      </c>
      <c r="H15" s="28" t="s">
        <v>18</v>
      </c>
    </row>
    <row r="16" spans="1:8" ht="49.95" customHeight="1" thickBot="1" x14ac:dyDescent="0.35">
      <c r="A16" s="19" t="s">
        <v>76</v>
      </c>
      <c r="B16" s="29" t="s">
        <v>77</v>
      </c>
      <c r="C16" s="20" t="s">
        <v>13</v>
      </c>
      <c r="D16" s="20" t="s">
        <v>78</v>
      </c>
      <c r="E16" s="20" t="s">
        <v>68</v>
      </c>
      <c r="F16" s="20" t="s">
        <v>79</v>
      </c>
      <c r="G16" s="20" t="s">
        <v>80</v>
      </c>
      <c r="H16" s="28" t="s">
        <v>18</v>
      </c>
    </row>
    <row r="17" spans="1:8" ht="34.950000000000003" customHeight="1" thickBot="1" x14ac:dyDescent="0.35">
      <c r="A17" s="19" t="s">
        <v>81</v>
      </c>
      <c r="B17" s="30" t="s">
        <v>82</v>
      </c>
      <c r="C17" s="21" t="s">
        <v>13</v>
      </c>
      <c r="D17" s="21" t="s">
        <v>83</v>
      </c>
      <c r="E17" s="21" t="s">
        <v>15</v>
      </c>
      <c r="F17" s="21" t="s">
        <v>84</v>
      </c>
      <c r="G17" s="21" t="s">
        <v>85</v>
      </c>
      <c r="H17" s="28" t="s">
        <v>18</v>
      </c>
    </row>
    <row r="18" spans="1:8" ht="49.95" customHeight="1" thickBot="1" x14ac:dyDescent="0.35">
      <c r="A18" s="19" t="s">
        <v>86</v>
      </c>
      <c r="B18" s="30" t="s">
        <v>87</v>
      </c>
      <c r="C18" s="20" t="s">
        <v>13</v>
      </c>
      <c r="D18" s="20" t="s">
        <v>88</v>
      </c>
      <c r="E18" s="20" t="s">
        <v>22</v>
      </c>
      <c r="F18" s="20" t="s">
        <v>89</v>
      </c>
      <c r="G18" s="20" t="s">
        <v>90</v>
      </c>
      <c r="H18" s="28" t="s">
        <v>18</v>
      </c>
    </row>
    <row r="19" spans="1:8" ht="49.95" customHeight="1" thickBot="1" x14ac:dyDescent="0.35">
      <c r="A19" s="19" t="s">
        <v>91</v>
      </c>
      <c r="B19" s="29" t="s">
        <v>92</v>
      </c>
      <c r="C19" s="31" t="s">
        <v>13</v>
      </c>
      <c r="D19" s="31" t="s">
        <v>93</v>
      </c>
      <c r="E19" s="31" t="s">
        <v>15</v>
      </c>
      <c r="F19" s="31" t="s">
        <v>94</v>
      </c>
      <c r="G19" s="31" t="s">
        <v>95</v>
      </c>
      <c r="H19" s="32" t="s">
        <v>18</v>
      </c>
    </row>
    <row r="20" spans="1:8" ht="49.95" customHeight="1" thickBot="1" x14ac:dyDescent="0.35">
      <c r="A20" s="19" t="s">
        <v>96</v>
      </c>
      <c r="B20" s="29" t="s">
        <v>97</v>
      </c>
      <c r="C20" s="31" t="s">
        <v>13</v>
      </c>
      <c r="D20" s="31" t="s">
        <v>98</v>
      </c>
      <c r="E20" s="31" t="s">
        <v>22</v>
      </c>
      <c r="F20" s="31" t="s">
        <v>99</v>
      </c>
      <c r="G20" s="31" t="s">
        <v>100</v>
      </c>
      <c r="H20" s="32" t="s">
        <v>18</v>
      </c>
    </row>
    <row r="21" spans="1:8" ht="49.95" customHeight="1" thickBot="1" x14ac:dyDescent="0.35">
      <c r="A21" s="19" t="s">
        <v>101</v>
      </c>
      <c r="B21" s="29" t="s">
        <v>102</v>
      </c>
      <c r="C21" s="31" t="s">
        <v>13</v>
      </c>
      <c r="D21" s="31" t="s">
        <v>103</v>
      </c>
      <c r="E21" s="31" t="s">
        <v>22</v>
      </c>
      <c r="F21" s="31" t="s">
        <v>104</v>
      </c>
      <c r="G21" s="31" t="s">
        <v>105</v>
      </c>
      <c r="H21" s="32" t="s">
        <v>18</v>
      </c>
    </row>
    <row r="22" spans="1:8" ht="49.95" customHeight="1" thickBot="1" x14ac:dyDescent="0.35">
      <c r="A22" s="19" t="s">
        <v>106</v>
      </c>
      <c r="B22" s="30" t="s">
        <v>107</v>
      </c>
      <c r="C22" s="31" t="s">
        <v>108</v>
      </c>
      <c r="D22" s="31" t="s">
        <v>109</v>
      </c>
      <c r="E22" s="31" t="s">
        <v>15</v>
      </c>
      <c r="F22" s="31" t="s">
        <v>110</v>
      </c>
      <c r="G22" s="31" t="s">
        <v>111</v>
      </c>
      <c r="H22" s="32" t="s">
        <v>18</v>
      </c>
    </row>
    <row r="23" spans="1:8" ht="49.95" customHeight="1" thickBot="1" x14ac:dyDescent="0.35">
      <c r="A23" s="19" t="s">
        <v>112</v>
      </c>
      <c r="B23" s="30" t="s">
        <v>113</v>
      </c>
      <c r="C23" s="31" t="s">
        <v>108</v>
      </c>
      <c r="D23" s="31" t="s">
        <v>114</v>
      </c>
      <c r="E23" s="31" t="s">
        <v>115</v>
      </c>
      <c r="F23" s="31" t="s">
        <v>116</v>
      </c>
      <c r="G23" s="31" t="s">
        <v>117</v>
      </c>
      <c r="H23" s="32" t="s">
        <v>18</v>
      </c>
    </row>
    <row r="24" spans="1:8" ht="49.95" customHeight="1" thickBot="1" x14ac:dyDescent="0.35">
      <c r="A24" s="19" t="s">
        <v>118</v>
      </c>
      <c r="B24" s="30" t="s">
        <v>119</v>
      </c>
      <c r="C24" s="31" t="s">
        <v>108</v>
      </c>
      <c r="D24" s="31" t="s">
        <v>120</v>
      </c>
      <c r="E24" s="31" t="s">
        <v>115</v>
      </c>
      <c r="F24" s="31" t="s">
        <v>121</v>
      </c>
      <c r="G24" s="31" t="s">
        <v>122</v>
      </c>
      <c r="H24" s="32" t="s">
        <v>18</v>
      </c>
    </row>
    <row r="25" spans="1:8" ht="49.95" customHeight="1" thickBot="1" x14ac:dyDescent="0.35">
      <c r="A25" s="19" t="s">
        <v>123</v>
      </c>
      <c r="B25" s="30" t="s">
        <v>124</v>
      </c>
      <c r="C25" s="31" t="s">
        <v>108</v>
      </c>
      <c r="D25" s="31" t="s">
        <v>125</v>
      </c>
      <c r="E25" s="31" t="s">
        <v>126</v>
      </c>
      <c r="F25" s="31" t="s">
        <v>127</v>
      </c>
      <c r="G25" s="31" t="s">
        <v>128</v>
      </c>
      <c r="H25" s="32" t="s">
        <v>18</v>
      </c>
    </row>
  </sheetData>
  <mergeCells count="4">
    <mergeCell ref="G2:H2"/>
    <mergeCell ref="E2:F2"/>
    <mergeCell ref="A2:D2"/>
    <mergeCell ref="A1:H1"/>
  </mergeCells>
  <dataValidations count="2">
    <dataValidation type="list" sqref="H4:H50" xr:uid="{00000000-0002-0000-0000-000000000000}">
      <formula1>"Pendiente,Aprobado,Fallido,En Progreso,Bloqueado"</formula1>
      <formula2>0</formula2>
    </dataValidation>
    <dataValidation type="list" allowBlank="1" sqref="E4:E50" xr:uid="{00000000-0002-0000-0000-000001000000}">
      <formula1>"Prueba Funcional,Prueba de Integración,Prueba de Rendimiento,Prueba de Validación,Revisión de Código,Inspección,Demo"</formula1>
      <formula2>0</formula2>
    </dataValidation>
  </dataValidation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topLeftCell="A2" zoomScaleNormal="100" workbookViewId="0">
      <selection sqref="A1:B1"/>
    </sheetView>
  </sheetViews>
  <sheetFormatPr baseColWidth="10" defaultColWidth="8.6640625" defaultRowHeight="14.4" x14ac:dyDescent="0.3"/>
  <cols>
    <col min="1" max="1" width="22" customWidth="1"/>
    <col min="2" max="2" width="55" customWidth="1"/>
  </cols>
  <sheetData>
    <row r="1" spans="1:2" ht="30" customHeight="1" x14ac:dyDescent="0.3">
      <c r="A1" s="27" t="s">
        <v>129</v>
      </c>
      <c r="B1" s="25"/>
    </row>
    <row r="2" spans="1:2" ht="19.5" customHeight="1" x14ac:dyDescent="0.3">
      <c r="A2" s="26" t="s">
        <v>130</v>
      </c>
      <c r="B2" s="23"/>
    </row>
    <row r="3" spans="1:2" ht="19.5" customHeight="1" x14ac:dyDescent="0.3">
      <c r="A3" s="2" t="s">
        <v>131</v>
      </c>
      <c r="B3" s="3" t="s">
        <v>132</v>
      </c>
    </row>
    <row r="4" spans="1:2" ht="19.5" customHeight="1" x14ac:dyDescent="0.3">
      <c r="A4" s="4" t="s">
        <v>133</v>
      </c>
      <c r="B4" s="5" t="s">
        <v>134</v>
      </c>
    </row>
    <row r="5" spans="1:2" ht="19.5" customHeight="1" x14ac:dyDescent="0.3">
      <c r="A5" s="2" t="s">
        <v>135</v>
      </c>
      <c r="B5" s="3" t="s">
        <v>136</v>
      </c>
    </row>
    <row r="6" spans="1:2" ht="19.5" customHeight="1" x14ac:dyDescent="0.3">
      <c r="A6" s="4" t="s">
        <v>137</v>
      </c>
      <c r="B6" s="5" t="s">
        <v>138</v>
      </c>
    </row>
    <row r="7" spans="1:2" ht="19.5" customHeight="1" x14ac:dyDescent="0.3">
      <c r="A7" s="2" t="s">
        <v>139</v>
      </c>
      <c r="B7" s="3" t="s">
        <v>140</v>
      </c>
    </row>
    <row r="8" spans="1:2" ht="19.5" customHeight="1" x14ac:dyDescent="0.3">
      <c r="A8" s="4"/>
      <c r="B8" s="5"/>
    </row>
    <row r="9" spans="1:2" ht="19.5" customHeight="1" x14ac:dyDescent="0.3">
      <c r="A9" s="26" t="s">
        <v>141</v>
      </c>
      <c r="B9" s="23"/>
    </row>
    <row r="10" spans="1:2" ht="19.5" customHeight="1" x14ac:dyDescent="0.3">
      <c r="A10" s="4" t="s">
        <v>15</v>
      </c>
      <c r="B10" s="5" t="s">
        <v>142</v>
      </c>
    </row>
    <row r="11" spans="1:2" ht="19.5" customHeight="1" x14ac:dyDescent="0.3">
      <c r="A11" s="2" t="s">
        <v>22</v>
      </c>
      <c r="B11" s="3" t="s">
        <v>143</v>
      </c>
    </row>
    <row r="12" spans="1:2" ht="19.5" customHeight="1" x14ac:dyDescent="0.3">
      <c r="A12" s="4" t="s">
        <v>115</v>
      </c>
      <c r="B12" s="5" t="s">
        <v>144</v>
      </c>
    </row>
    <row r="13" spans="1:2" ht="19.5" customHeight="1" x14ac:dyDescent="0.3">
      <c r="A13" s="2" t="s">
        <v>68</v>
      </c>
      <c r="B13" s="3" t="s">
        <v>145</v>
      </c>
    </row>
    <row r="14" spans="1:2" ht="19.5" customHeight="1" x14ac:dyDescent="0.3">
      <c r="A14" s="4" t="s">
        <v>126</v>
      </c>
      <c r="B14" s="5" t="s">
        <v>146</v>
      </c>
    </row>
    <row r="15" spans="1:2" ht="19.5" customHeight="1" x14ac:dyDescent="0.3">
      <c r="A15" s="2" t="s">
        <v>147</v>
      </c>
      <c r="B15" s="3" t="s">
        <v>148</v>
      </c>
    </row>
    <row r="16" spans="1:2" ht="19.5" customHeight="1" x14ac:dyDescent="0.3">
      <c r="A16" s="4" t="s">
        <v>149</v>
      </c>
      <c r="B16" s="5" t="s">
        <v>150</v>
      </c>
    </row>
    <row r="17" spans="1:2" ht="19.5" customHeight="1" x14ac:dyDescent="0.3">
      <c r="A17" s="2"/>
      <c r="B17" s="3"/>
    </row>
    <row r="18" spans="1:2" ht="19.5" customHeight="1" x14ac:dyDescent="0.3">
      <c r="A18" s="26" t="s">
        <v>151</v>
      </c>
      <c r="B18" s="23"/>
    </row>
    <row r="19" spans="1:2" ht="19.5" customHeight="1" x14ac:dyDescent="0.3">
      <c r="A19" s="2" t="s">
        <v>152</v>
      </c>
      <c r="B19" s="3" t="s">
        <v>153</v>
      </c>
    </row>
    <row r="20" spans="1:2" ht="19.5" customHeight="1" x14ac:dyDescent="0.3">
      <c r="A20" s="4" t="s">
        <v>154</v>
      </c>
      <c r="B20" s="5" t="s">
        <v>155</v>
      </c>
    </row>
  </sheetData>
  <mergeCells count="4">
    <mergeCell ref="A9:B9"/>
    <mergeCell ref="A2:B2"/>
    <mergeCell ref="A1:B1"/>
    <mergeCell ref="A18:B1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zoomScaleNormal="100" workbookViewId="0">
      <selection sqref="A1:C1"/>
    </sheetView>
  </sheetViews>
  <sheetFormatPr baseColWidth="10" defaultColWidth="8.6640625" defaultRowHeight="14.4" x14ac:dyDescent="0.3"/>
  <cols>
    <col min="1" max="1" width="26" customWidth="1"/>
    <col min="2" max="3" width="16" customWidth="1"/>
  </cols>
  <sheetData>
    <row r="1" spans="1:3" ht="30" customHeight="1" x14ac:dyDescent="0.3">
      <c r="A1" s="27" t="s">
        <v>156</v>
      </c>
      <c r="B1" s="25"/>
      <c r="C1" s="25"/>
    </row>
    <row r="2" spans="1:3" x14ac:dyDescent="0.3">
      <c r="A2" s="6" t="s">
        <v>157</v>
      </c>
      <c r="B2" s="6" t="s">
        <v>158</v>
      </c>
      <c r="C2" s="6" t="s">
        <v>159</v>
      </c>
    </row>
    <row r="3" spans="1:3" ht="21.75" customHeight="1" x14ac:dyDescent="0.3">
      <c r="A3" s="7" t="s">
        <v>160</v>
      </c>
      <c r="B3" s="8">
        <f>COUNTA('Matriz de Verificación'!A4:A50)</f>
        <v>22</v>
      </c>
      <c r="C3" s="8"/>
    </row>
    <row r="4" spans="1:3" ht="21.75" customHeight="1" x14ac:dyDescent="0.3">
      <c r="A4" s="9" t="s">
        <v>161</v>
      </c>
      <c r="B4" s="10">
        <f>COUNTIF('Matriz de Verificación'!H4:H50,"Aprobado")</f>
        <v>22</v>
      </c>
      <c r="C4" s="10" t="str">
        <f>IF(B3=0,"0%",TEXT(B4/B3,"0%"))</f>
        <v>100%</v>
      </c>
    </row>
    <row r="5" spans="1:3" ht="21.75" customHeight="1" x14ac:dyDescent="0.3">
      <c r="A5" s="11" t="s">
        <v>162</v>
      </c>
      <c r="B5" s="12">
        <f>COUNTIF('Matriz de Verificación'!H4:H50,"Fallido")</f>
        <v>0</v>
      </c>
      <c r="C5" s="12" t="str">
        <f>IF(B3=0,"0%",TEXT(B5/B3,"0%"))</f>
        <v>0%</v>
      </c>
    </row>
    <row r="6" spans="1:3" ht="21.75" customHeight="1" x14ac:dyDescent="0.3">
      <c r="A6" s="13" t="s">
        <v>163</v>
      </c>
      <c r="B6" s="14">
        <f>COUNTIF('Matriz de Verificación'!H4:H50,"Pendiente")</f>
        <v>0</v>
      </c>
      <c r="C6" s="14" t="str">
        <f>IF(B3=0,"0%",TEXT(B6/B3,"0%"))</f>
        <v>0%</v>
      </c>
    </row>
    <row r="7" spans="1:3" ht="21.75" customHeight="1" x14ac:dyDescent="0.3">
      <c r="A7" s="15" t="s">
        <v>164</v>
      </c>
      <c r="B7" s="16">
        <f>COUNTIF('Matriz de Verificación'!H4:H50,"En Progreso")</f>
        <v>0</v>
      </c>
      <c r="C7" s="16" t="str">
        <f>IF(B3=0,"0%",TEXT(B7/B3,"0%"))</f>
        <v>0%</v>
      </c>
    </row>
    <row r="8" spans="1:3" ht="21.75" customHeight="1" x14ac:dyDescent="0.3">
      <c r="A8" s="17" t="s">
        <v>165</v>
      </c>
      <c r="B8" s="18">
        <f>COUNTIF('Matriz de Verificación'!H4:H50,"Bloqueado")</f>
        <v>0</v>
      </c>
      <c r="C8" s="18" t="str">
        <f>IF(B3=0,"0%",TEXT(B8/B3,"0%"))</f>
        <v>0%</v>
      </c>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Matriz de Verificación</vt:lpstr>
      <vt:lpstr>Leyenda y Guía</vt:lpstr>
      <vt:lpstr>Resumen Ejecutivo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Cortes, Juan Fernando</dc:creator>
  <cp:lastModifiedBy>juan fernando dominguez</cp:lastModifiedBy>
  <cp:revision>0</cp:revision>
  <dcterms:created xsi:type="dcterms:W3CDTF">2026-06-01T01:22:38Z</dcterms:created>
  <dcterms:modified xsi:type="dcterms:W3CDTF">2026-06-01T03:11:27Z</dcterms:modified>
  <dc:language>en-US</dc:language>
</cp:coreProperties>
</file>